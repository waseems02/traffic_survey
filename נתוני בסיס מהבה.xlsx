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מחקר\תכנון מדיניות ואסטרטגיה\בית הדין לתעבורה\"/>
    </mc:Choice>
  </mc:AlternateContent>
  <xr:revisionPtr revIDLastSave="0" documentId="13_ncr:1_{ED46F390-4FCF-49EB-B039-205153653FC2}" xr6:coauthVersionLast="47" xr6:coauthVersionMax="47" xr10:uidLastSave="{00000000-0000-0000-0000-000000000000}"/>
  <bookViews>
    <workbookView xWindow="-28950" yWindow="180" windowWidth="27840" windowHeight="15045" xr2:uid="{BC0ECC03-EC9F-42DF-9B65-608CE9701B7C}"/>
  </bookViews>
  <sheets>
    <sheet name="גיליון1" sheetId="1" r:id="rId1"/>
    <sheet name="גיליון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" l="1"/>
  <c r="G69" i="1"/>
  <c r="E69" i="1"/>
  <c r="C69" i="1"/>
  <c r="O18" i="1"/>
  <c r="P18" i="1"/>
  <c r="Q18" i="1"/>
  <c r="G70" i="1"/>
  <c r="E70" i="1"/>
  <c r="C70" i="1"/>
  <c r="Z4" i="1"/>
  <c r="AA4" i="1"/>
  <c r="AA12" i="1" s="1"/>
  <c r="Z5" i="1"/>
  <c r="AA5" i="1"/>
  <c r="AA13" i="1" s="1"/>
  <c r="Z6" i="1"/>
  <c r="AA6" i="1"/>
  <c r="Z7" i="1"/>
  <c r="AA7" i="1"/>
  <c r="AA15" i="1" s="1"/>
  <c r="Y7" i="1"/>
  <c r="Y6" i="1"/>
  <c r="Y14" i="1" s="1"/>
  <c r="Y5" i="1"/>
  <c r="Y13" i="1" s="1"/>
  <c r="Y4" i="1"/>
  <c r="Y12" i="1" s="1"/>
  <c r="Z3" i="1"/>
  <c r="AA3" i="1"/>
  <c r="AA8" i="1" s="1"/>
  <c r="AA14" i="1" s="1"/>
  <c r="Y3" i="1"/>
  <c r="Y8" i="1" s="1"/>
  <c r="Y15" i="1" s="1"/>
  <c r="J4" i="1"/>
  <c r="H82" i="1"/>
  <c r="E82" i="1"/>
  <c r="B82" i="1"/>
  <c r="G76" i="1"/>
  <c r="G75" i="1"/>
  <c r="E76" i="1"/>
  <c r="E75" i="1"/>
  <c r="C76" i="1"/>
  <c r="C75" i="1"/>
  <c r="C66" i="1"/>
  <c r="C65" i="1"/>
  <c r="G66" i="1"/>
  <c r="G65" i="1"/>
  <c r="E66" i="1"/>
  <c r="E65" i="1"/>
  <c r="W31" i="1"/>
  <c r="V31" i="1"/>
  <c r="V34" i="1"/>
  <c r="U34" i="1"/>
  <c r="W34" i="1"/>
  <c r="U25" i="1"/>
  <c r="U26" i="1"/>
  <c r="V26" i="1"/>
  <c r="U27" i="1"/>
  <c r="V27" i="1"/>
  <c r="T26" i="1"/>
  <c r="T27" i="1"/>
  <c r="T25" i="1"/>
  <c r="S4" i="1"/>
  <c r="T4" i="1"/>
  <c r="U4" i="1"/>
  <c r="V4" i="1"/>
  <c r="S5" i="1"/>
  <c r="T5" i="1"/>
  <c r="U5" i="1"/>
  <c r="V5" i="1"/>
  <c r="T3" i="1"/>
  <c r="U3" i="1"/>
  <c r="V3" i="1"/>
  <c r="S3" i="1"/>
  <c r="H4" i="1"/>
  <c r="I4" i="1"/>
  <c r="K4" i="1"/>
  <c r="I3" i="1"/>
  <c r="J3" i="1"/>
  <c r="K3" i="1"/>
  <c r="H3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I125" i="1"/>
  <c r="J125" i="1"/>
  <c r="K125" i="1"/>
  <c r="J124" i="1"/>
  <c r="K124" i="1"/>
  <c r="I124" i="1"/>
  <c r="H125" i="1"/>
  <c r="H124" i="1"/>
  <c r="Z8" i="1" l="1"/>
  <c r="Y11" i="1"/>
  <c r="AA11" i="1"/>
  <c r="H131" i="1"/>
  <c r="I131" i="1"/>
  <c r="K131" i="1"/>
  <c r="J131" i="1"/>
  <c r="Z14" i="1" l="1"/>
  <c r="Z13" i="1"/>
  <c r="Z15" i="1"/>
  <c r="Z11" i="1"/>
  <c r="Z12" i="1"/>
</calcChain>
</file>

<file path=xl/sharedStrings.xml><?xml version="1.0" encoding="utf-8"?>
<sst xmlns="http://schemas.openxmlformats.org/spreadsheetml/2006/main" count="302" uniqueCount="125">
  <si>
    <t>תיק תעבורה (תת"ע)</t>
  </si>
  <si>
    <t>פסק דין/החלטה</t>
  </si>
  <si>
    <t>הסדר טיעון</t>
  </si>
  <si>
    <t>ביטול כתב אישום</t>
  </si>
  <si>
    <t>אי התייצבות הנאשם לפני ההקראה</t>
  </si>
  <si>
    <t>התליית הליכים</t>
  </si>
  <si>
    <t>טכנית</t>
  </si>
  <si>
    <t>הנאשם אינו כשיר לעמוד לדין</t>
  </si>
  <si>
    <t>גישור</t>
  </si>
  <si>
    <t>עיכוב הליכים על ידי היועץ המשפטי לממשלה</t>
  </si>
  <si>
    <t>סכום כולל</t>
  </si>
  <si>
    <t>שם</t>
  </si>
  <si>
    <t>2022 נפתחו</t>
  </si>
  <si>
    <t>2022 נסגרו</t>
  </si>
  <si>
    <t>2022 CR</t>
  </si>
  <si>
    <t>2023 נפתחו</t>
  </si>
  <si>
    <t>2023 נסגרו</t>
  </si>
  <si>
    <t>2023 CR</t>
  </si>
  <si>
    <t>2024 נפתחו</t>
  </si>
  <si>
    <t>2024 נסגרו</t>
  </si>
  <si>
    <t>2024 CR</t>
  </si>
  <si>
    <t>2025 נפתחו</t>
  </si>
  <si>
    <t>נסגרו 2025</t>
  </si>
  <si>
    <t>CR 2025</t>
  </si>
  <si>
    <t>תיק תעבורה תת"ע</t>
  </si>
  <si>
    <t>99%</t>
  </si>
  <si>
    <t>77%</t>
  </si>
  <si>
    <t>118%</t>
  </si>
  <si>
    <t>הארכת מועד להישפט</t>
  </si>
  <si>
    <t>101%</t>
  </si>
  <si>
    <t>97%</t>
  </si>
  <si>
    <t>מספר תיקים שנפתחו ונסגרו כל שנה</t>
  </si>
  <si>
    <t>סוג תיק</t>
  </si>
  <si>
    <t>2022 ממוצע</t>
  </si>
  <si>
    <t>2023 ממוצע</t>
  </si>
  <si>
    <t>2024 ממוצע</t>
  </si>
  <si>
    <t>2025 נסגרו</t>
  </si>
  <si>
    <t>2025 ממוצע</t>
  </si>
  <si>
    <t>Total נסגרו</t>
  </si>
  <si>
    <t>Total ממוצע</t>
  </si>
  <si>
    <t>ממוצע אורך חיי תיק בחודשים</t>
  </si>
  <si>
    <t>הארכת מועד לשפיטה המ"ש</t>
  </si>
  <si>
    <t>דיונים ודחיית דיונים</t>
  </si>
  <si>
    <t>2022 דיונים</t>
  </si>
  <si>
    <t>2022 נדחו</t>
  </si>
  <si>
    <t>2022 % דחיות</t>
  </si>
  <si>
    <t>2023 דיונים</t>
  </si>
  <si>
    <t>2023 נדחו</t>
  </si>
  <si>
    <t>2023 % דחיות</t>
  </si>
  <si>
    <t>2024 דיונים</t>
  </si>
  <si>
    <t>2024 נדחו</t>
  </si>
  <si>
    <t>2024 % דחיות</t>
  </si>
  <si>
    <t>2025 דיונים</t>
  </si>
  <si>
    <t>2025 נדחו</t>
  </si>
  <si>
    <t>2025 % דחיות</t>
  </si>
  <si>
    <t>תיק תעבורה</t>
  </si>
  <si>
    <t>0%</t>
  </si>
  <si>
    <t>הארכת מועד לשפיטה</t>
  </si>
  <si>
    <t>דיונים מסוג הוכחות</t>
  </si>
  <si>
    <t>דיונים מסוג הקראה</t>
  </si>
  <si>
    <t>2025 CR</t>
  </si>
  <si>
    <t>ערעור פלילי תעבורה</t>
  </si>
  <si>
    <t>106%</t>
  </si>
  <si>
    <t>83%</t>
  </si>
  <si>
    <t>116%</t>
  </si>
  <si>
    <t>96%</t>
  </si>
  <si>
    <t>ערעור פלילי במחוזי</t>
  </si>
  <si>
    <t>סוגי תיקים / סיבות סגירה</t>
  </si>
  <si>
    <t>הארכת מועד להישפט (המ"ש)</t>
  </si>
  <si>
    <t>נדחה/נמחק לבקשת תובע</t>
  </si>
  <si>
    <t>פסק דין בהסכמת הצדדים</t>
  </si>
  <si>
    <t>נמחק לבקשת מערער</t>
  </si>
  <si>
    <t>פשרה</t>
  </si>
  <si>
    <t>חוסר מעש</t>
  </si>
  <si>
    <t>סיבות סגירת תיק הארכת מועד להישפט (המ"ש)</t>
  </si>
  <si>
    <t>אחר</t>
  </si>
  <si>
    <t>סכום של תיקים</t>
  </si>
  <si>
    <t>שנים  (עד סוף יוני 2025)</t>
  </si>
  <si>
    <t>סוגי תיקים / תוצאות סגירה</t>
  </si>
  <si>
    <t>התקבל/ התקבל חלקית</t>
  </si>
  <si>
    <t>נדחה</t>
  </si>
  <si>
    <t>נמחק</t>
  </si>
  <si>
    <t>התקבל</t>
  </si>
  <si>
    <t>נסגר טכנית</t>
  </si>
  <si>
    <t>התקבל חלקית</t>
  </si>
  <si>
    <t>ו"ש - נמחק</t>
  </si>
  <si>
    <t>תיק נדחה/נמחק ע"י מגישו</t>
  </si>
  <si>
    <t>ו"ש - מעשה טרור לפי תיקון סעיף 40 א' לחוק המאבק ב</t>
  </si>
  <si>
    <t>מעצר</t>
  </si>
  <si>
    <t xml:space="preserve">ו"ש - לא נקצב - הבקשה נדחתה </t>
  </si>
  <si>
    <t>מחיקת אישום</t>
  </si>
  <si>
    <t>טופל - ממתין לתיק עיקרי</t>
  </si>
  <si>
    <t>נסגר - ריבוי גורמים</t>
  </si>
  <si>
    <t>הרשעה</t>
  </si>
  <si>
    <t>צירוף תיקים</t>
  </si>
  <si>
    <t xml:space="preserve">הפסקת הליכים </t>
  </si>
  <si>
    <t>זיכוי מלא/ זיכוי</t>
  </si>
  <si>
    <t>אשמה ללא הרשעה</t>
  </si>
  <si>
    <t>הועבר לבית משפט קהילתי</t>
  </si>
  <si>
    <t>פטור ללא צו</t>
  </si>
  <si>
    <t>הוחזר מבית משפט קהילתי</t>
  </si>
  <si>
    <t>תוצאות תיק</t>
  </si>
  <si>
    <t>סיבות סגירת תיק תעבורה (תת"ע)</t>
  </si>
  <si>
    <t>סיבות סגירת תיק תעבורה תת"ע (תיק שנסגר ונפתח נספר פעמיים)</t>
  </si>
  <si>
    <t>סיבות סגירת תיק הארכת מועד להישפט (המ"ש) (תיק שנסגר ונפתח נספר פעמיים)</t>
  </si>
  <si>
    <t>תוצאות הליך תיק תעבורה (תת"ע)</t>
  </si>
  <si>
    <t>בקשות להארכת מועד להישפט (המ"ש)</t>
  </si>
  <si>
    <t>2022</t>
  </si>
  <si>
    <t>2023</t>
  </si>
  <si>
    <t>2024</t>
  </si>
  <si>
    <t>ממוצע דיונים לתיק</t>
  </si>
  <si>
    <t>אחוז ערעורים</t>
  </si>
  <si>
    <t>קידוד הקטגוריות</t>
  </si>
  <si>
    <t>הרשעה ואשמה ללא הרשעה</t>
  </si>
  <si>
    <t>זיכוי מלא / חלקי / מחיקת אישום</t>
  </si>
  <si>
    <t>תוויות שורה</t>
  </si>
  <si>
    <t>סיום התיק</t>
  </si>
  <si>
    <t>מספר תיקים</t>
  </si>
  <si>
    <t>אחוז זיכויים</t>
  </si>
  <si>
    <t>אחוז הרשעות</t>
  </si>
  <si>
    <t>אחוז תיקים עם דיוני הוכחות (בהנחה שיש דיון הוכחות אחד לתיק)</t>
  </si>
  <si>
    <t xml:space="preserve">תיקי תעבורה שהסתיימו </t>
  </si>
  <si>
    <t>2022 דיוני הוכחות</t>
  </si>
  <si>
    <t>2023 דיוני הוכחות</t>
  </si>
  <si>
    <t>2024 דיוני הוכחות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</si>
</sst>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7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right" vertical="center" readingOrder="2"/>
    </xf>
    <xf numFmtId="3" fontId="1" fillId="0" borderId="2" xfId="0" applyNumberFormat="1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2"/>
    </xf>
    <xf numFmtId="3" fontId="2" fillId="0" borderId="2" xfId="0" applyNumberFormat="1" applyFont="1" applyBorder="1" applyAlignment="1">
      <alignment horizontal="right" vertical="center" readingOrder="1"/>
    </xf>
    <xf numFmtId="0" fontId="2" fillId="0" borderId="2" xfId="0" applyFont="1" applyBorder="1" applyAlignment="1">
      <alignment horizontal="right" vertical="center" readingOrder="1"/>
    </xf>
    <xf numFmtId="0" fontId="2" fillId="0" borderId="2" xfId="0" applyFont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right" vertical="center" readingOrder="1"/>
    </xf>
    <xf numFmtId="0" fontId="1" fillId="2" borderId="2" xfId="0" applyFont="1" applyFill="1" applyBorder="1" applyAlignment="1">
      <alignment horizontal="right" vertical="center" readingOrder="2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9" fontId="0" fillId="0" borderId="0" xfId="0" applyNumberFormat="1"/>
    <xf numFmtId="9" fontId="0" fillId="0" borderId="0" xfId="1" applyFont="1"/>
    <xf numFmtId="0" fontId="1" fillId="2" borderId="1" xfId="0" applyFont="1" applyFill="1" applyBorder="1" applyAlignment="1">
      <alignment horizontal="right" vertical="center" readingOrder="2"/>
    </xf>
    <xf numFmtId="0" fontId="1" fillId="2" borderId="6" xfId="0" applyFont="1" applyFill="1" applyBorder="1" applyAlignment="1">
      <alignment horizontal="right" vertical="center" readingOrder="2"/>
    </xf>
    <xf numFmtId="0" fontId="1" fillId="2" borderId="7" xfId="0" applyFont="1" applyFill="1" applyBorder="1" applyAlignment="1">
      <alignment horizontal="right" vertical="center" readingOrder="2"/>
    </xf>
    <xf numFmtId="0" fontId="1" fillId="2" borderId="7" xfId="0" applyFont="1" applyFill="1" applyBorder="1" applyAlignment="1">
      <alignment horizontal="left" vertical="center" readingOrder="1"/>
    </xf>
    <xf numFmtId="3" fontId="1" fillId="2" borderId="2" xfId="0" applyNumberFormat="1" applyFont="1" applyFill="1" applyBorder="1" applyAlignment="1">
      <alignment horizontal="right" vertical="center" readingOrder="1"/>
    </xf>
    <xf numFmtId="0" fontId="0" fillId="3" borderId="0" xfId="0" applyFill="1"/>
    <xf numFmtId="0" fontId="1" fillId="3" borderId="2" xfId="0" applyFont="1" applyFill="1" applyBorder="1" applyAlignment="1">
      <alignment horizontal="right" vertical="center" readingOrder="1"/>
    </xf>
    <xf numFmtId="0" fontId="1" fillId="3" borderId="2" xfId="0" applyFont="1" applyFill="1" applyBorder="1" applyAlignment="1">
      <alignment horizontal="right" vertical="center" readingOrder="2"/>
    </xf>
    <xf numFmtId="0" fontId="1" fillId="3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right" vertical="center" readingOrder="2"/>
    </xf>
    <xf numFmtId="3" fontId="2" fillId="3" borderId="2" xfId="0" applyNumberFormat="1" applyFont="1" applyFill="1" applyBorder="1" applyAlignment="1">
      <alignment horizontal="right" vertical="center" readingOrder="1"/>
    </xf>
    <xf numFmtId="9" fontId="0" fillId="3" borderId="0" xfId="1" applyFont="1" applyFill="1"/>
    <xf numFmtId="0" fontId="2" fillId="3" borderId="2" xfId="0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left" vertical="center" readingOrder="1"/>
    </xf>
    <xf numFmtId="3" fontId="1" fillId="3" borderId="2" xfId="0" applyNumberFormat="1" applyFont="1" applyFill="1" applyBorder="1" applyAlignment="1">
      <alignment horizontal="right" vertical="center" readingOrder="1"/>
    </xf>
    <xf numFmtId="0" fontId="1" fillId="0" borderId="0" xfId="0" applyFont="1" applyBorder="1" applyAlignment="1">
      <alignment horizontal="right" vertical="center" readingOrder="2"/>
    </xf>
    <xf numFmtId="3" fontId="1" fillId="0" borderId="0" xfId="0" applyNumberFormat="1" applyFont="1" applyBorder="1" applyAlignment="1">
      <alignment horizontal="right" vertical="center" readingOrder="1"/>
    </xf>
    <xf numFmtId="0" fontId="1" fillId="2" borderId="9" xfId="0" applyFont="1" applyFill="1" applyBorder="1" applyAlignment="1">
      <alignment horizontal="right" vertical="center" readingOrder="2"/>
    </xf>
    <xf numFmtId="0" fontId="2" fillId="0" borderId="9" xfId="0" applyFont="1" applyBorder="1" applyAlignment="1">
      <alignment horizontal="right" vertical="center" readingOrder="2"/>
    </xf>
    <xf numFmtId="0" fontId="2" fillId="0" borderId="10" xfId="0" applyFont="1" applyBorder="1" applyAlignment="1">
      <alignment horizontal="right" vertical="center" readingOrder="2"/>
    </xf>
    <xf numFmtId="0" fontId="1" fillId="2" borderId="2" xfId="0" applyFont="1" applyFill="1" applyBorder="1" applyAlignment="1">
      <alignment horizontal="center" vertical="center" readingOrder="1"/>
    </xf>
    <xf numFmtId="3" fontId="2" fillId="0" borderId="2" xfId="0" applyNumberFormat="1" applyFont="1" applyBorder="1" applyAlignment="1">
      <alignment horizontal="center" vertical="center" readingOrder="1"/>
    </xf>
    <xf numFmtId="0" fontId="2" fillId="0" borderId="11" xfId="0" applyFont="1" applyBorder="1" applyAlignment="1">
      <alignment horizontal="center" vertical="center" readingOrder="1"/>
    </xf>
    <xf numFmtId="2" fontId="0" fillId="0" borderId="0" xfId="0" applyNumberFormat="1"/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" fillId="0" borderId="5" xfId="0" applyFont="1" applyBorder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right"/>
    </xf>
    <xf numFmtId="0" fontId="1" fillId="2" borderId="0" xfId="0" applyFont="1" applyFill="1" applyBorder="1" applyAlignment="1">
      <alignment horizontal="right" vertical="center" readingOrder="1"/>
    </xf>
    <xf numFmtId="3" fontId="0" fillId="0" borderId="0" xfId="0" applyNumberFormat="1"/>
    <xf numFmtId="0" fontId="3" fillId="0" borderId="0" xfId="0" applyFont="1"/>
    <xf numFmtId="43" fontId="0" fillId="0" borderId="0" xfId="2" applyFont="1"/>
    <xf numFmtId="0" fontId="2" fillId="0" borderId="12" xfId="0" applyFont="1" applyFill="1" applyBorder="1" applyAlignment="1">
      <alignment horizontal="right" vertical="center" readingOrder="2"/>
    </xf>
    <xf numFmtId="0" fontId="3" fillId="0" borderId="3" xfId="0" applyFont="1" applyBorder="1" applyAlignment="1">
      <alignment horizontal="center" vertical="top" wrapText="1" readingOrder="2"/>
    </xf>
  </cellXfs>
  <cellStyles count="3">
    <cellStyle name="Comma" xfId="2" builtinId="3"/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1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right" vertical="center" textRotation="0" wrapText="0" indent="0" justifyLastLine="0" shrinkToFit="0" readingOrder="2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border outline="0">
        <left style="medium">
          <color indexed="64"/>
        </lef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right" vertical="center" textRotation="0" wrapText="0" indent="0" justifyLastLine="0" shrinkToFit="0" readingOrder="1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DDEBF7"/>
        </patternFill>
      </fill>
      <alignment horizontal="right" vertical="center" textRotation="0" wrapText="0" indent="0" justifyLastLine="0" shrinkToFit="0" readingOrder="1"/>
    </dxf>
  </dxfs>
  <tableStyles count="3" defaultTableStyle="TableStyleMedium2" defaultPivotStyle="PivotStyleLight16">
    <tableStyle name="סגנון טבלה 1" pivot="0" count="0" xr9:uid="{AE483DB7-1D10-4F17-9BFA-DE31E9338256}"/>
    <tableStyle name="סגנון טבלה 2" pivot="0" count="0" xr9:uid="{EBE10D30-7535-4233-827F-57FB9E8C2D84}"/>
    <tableStyle name="סגנון טבלה 3" pivot="0" count="1" xr9:uid="{27656997-F00D-4861-9054-5514A7ADCF50}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סיבות סגירה תיק תעבורה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גיליון1!$G$3</c:f>
              <c:strCache>
                <c:ptCount val="1"/>
                <c:pt idx="0">
                  <c:v>פסק דין/החלטה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גיליון1!$H$2:$K$2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גיליון1!$H$3:$K$3</c:f>
              <c:numCache>
                <c:formatCode>0%</c:formatCode>
                <c:ptCount val="4"/>
                <c:pt idx="0">
                  <c:v>0.60206594929714641</c:v>
                </c:pt>
                <c:pt idx="1">
                  <c:v>0.61558195183995512</c:v>
                </c:pt>
                <c:pt idx="2">
                  <c:v>0.34272848113284321</c:v>
                </c:pt>
                <c:pt idx="3">
                  <c:v>0.34212899164667654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9-4F26-A2FE-15DAE655EDAC}"/>
            </c:ext>
          </c:extLst>
        </c:ser>
        <c:ser>
          <c:idx val="1"/>
          <c:order val="1"/>
          <c:tx>
            <c:strRef>
              <c:f>גיליון1!$G$4</c:f>
              <c:strCache>
                <c:ptCount val="1"/>
                <c:pt idx="0">
                  <c:v>הסדר טיעון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גיליון1!$H$2:$K$2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גיליון1!$H$4:$K$4</c:f>
              <c:numCache>
                <c:formatCode>0%</c:formatCode>
                <c:ptCount val="4"/>
                <c:pt idx="0">
                  <c:v>0.35834761516777641</c:v>
                </c:pt>
                <c:pt idx="1">
                  <c:v>0.35335331019466659</c:v>
                </c:pt>
                <c:pt idx="2">
                  <c:v>0.61592020906238409</c:v>
                </c:pt>
                <c:pt idx="3">
                  <c:v>0.62985079705336944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9-4F26-A2FE-15DAE655EDAC}"/>
            </c:ext>
          </c:extLst>
        </c:ser>
        <c:ser>
          <c:idx val="2"/>
          <c:order val="2"/>
          <c:tx>
            <c:strRef>
              <c:f>גיליון1!$G$5</c:f>
              <c:strCache>
                <c:ptCount val="1"/>
                <c:pt idx="0">
                  <c:v>אחר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גיליון1!$H$2:$K$2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גיליון1!$H$5:$K$5</c:f>
              <c:numCache>
                <c:formatCode>0%</c:formatCode>
                <c:ptCount val="4"/>
                <c:pt idx="0">
                  <c:v>3.9586435535077118E-2</c:v>
                </c:pt>
                <c:pt idx="1">
                  <c:v>3.1064737965378227E-2</c:v>
                </c:pt>
                <c:pt idx="2">
                  <c:v>4.1351309804772619E-2</c:v>
                </c:pt>
                <c:pt idx="3">
                  <c:v>2.8020211299954061E-2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9-4F26-A2FE-15DAE655E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4481920"/>
        <c:axId val="654475360"/>
      </c:barChart>
      <c:catAx>
        <c:axId val="6544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4475360"/>
        <c:crosses val="autoZero"/>
        <c:auto val="1"/>
        <c:lblAlgn val="ctr"/>
        <c:lblOffset val="100"/>
        <c:noMultiLvlLbl val="0"/>
      </c:catAx>
      <c:valAx>
        <c:axId val="6544753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44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שיעור התיקים המתקבלים מתוך בקשות להארכת מועד להישפט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גיליון1!$B$36</c:f>
              <c:strCache>
                <c:ptCount val="1"/>
                <c:pt idx="0">
                  <c:v>בקשות להארכת מועד להישפט (המ"ש)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גיליון1!$A$37:$A$39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גיליון1!$B$37:$B$39</c:f>
              <c:numCache>
                <c:formatCode>#,##0</c:formatCode>
                <c:ptCount val="3"/>
                <c:pt idx="0">
                  <c:v>10741</c:v>
                </c:pt>
                <c:pt idx="1">
                  <c:v>12355</c:v>
                </c:pt>
                <c:pt idx="2">
                  <c:v>11611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0-4C66-911E-3FA8136D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382712"/>
        <c:axId val="489385008"/>
      </c:barChart>
      <c:lineChart>
        <c:grouping val="standard"/>
        <c:varyColors val="0"/>
        <c:ser>
          <c:idx val="1"/>
          <c:order val="1"/>
          <c:tx>
            <c:strRef>
              <c:f>גיליון1!$C$36</c:f>
              <c:strCache>
                <c:ptCount val="1"/>
                <c:pt idx="0">
                  <c:v>התקבל/ התקבל חלקית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גיליון1!$A$37:$A$39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גיליון1!$C$37:$C$39</c:f>
              <c:numCache>
                <c:formatCode>0%</c:formatCode>
                <c:ptCount val="3"/>
                <c:pt idx="0">
                  <c:v>0.55000000000000004</c:v>
                </c:pt>
                <c:pt idx="1">
                  <c:v>0.51</c:v>
                </c:pt>
                <c:pt idx="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0-4C66-911E-3FA8136D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383040"/>
        <c:axId val="489381400"/>
      </c:lineChart>
      <c:catAx>
        <c:axId val="48938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9385008"/>
        <c:crosses val="autoZero"/>
        <c:auto val="1"/>
        <c:lblAlgn val="ctr"/>
        <c:lblOffset val="100"/>
        <c:noMultiLvlLbl val="0"/>
      </c:catAx>
      <c:valAx>
        <c:axId val="489385008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9382712"/>
        <c:crosses val="autoZero"/>
        <c:crossBetween val="between"/>
      </c:valAx>
      <c:valAx>
        <c:axId val="489381400"/>
        <c:scaling>
          <c:orientation val="minMax"/>
          <c:max val="1"/>
          <c:min val="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89383040"/>
        <c:crosses val="max"/>
        <c:crossBetween val="between"/>
      </c:valAx>
      <c:catAx>
        <c:axId val="489383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938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תוצאות הליך בקשת הארכה להישפט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גיליון1!$T$31</c:f>
              <c:strCache>
                <c:ptCount val="1"/>
                <c:pt idx="0">
                  <c:v>התקבל/ התקבל חלקית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גיליון1!$U$30:$W$30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גיליון1!$U$31:$W$31</c:f>
              <c:numCache>
                <c:formatCode>#,##0</c:formatCode>
                <c:ptCount val="3"/>
                <c:pt idx="0">
                  <c:v>5896</c:v>
                </c:pt>
                <c:pt idx="1">
                  <c:v>6327</c:v>
                </c:pt>
                <c:pt idx="2">
                  <c:v>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7-4600-B83A-B1C37D31D456}"/>
            </c:ext>
          </c:extLst>
        </c:ser>
        <c:ser>
          <c:idx val="1"/>
          <c:order val="1"/>
          <c:tx>
            <c:strRef>
              <c:f>גיליון1!$T$32</c:f>
              <c:strCache>
                <c:ptCount val="1"/>
                <c:pt idx="0">
                  <c:v>נדחה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גיליון1!$U$30:$W$30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גיליון1!$U$32:$W$32</c:f>
              <c:numCache>
                <c:formatCode>#,##0</c:formatCode>
                <c:ptCount val="3"/>
                <c:pt idx="0">
                  <c:v>2934</c:v>
                </c:pt>
                <c:pt idx="1">
                  <c:v>3720</c:v>
                </c:pt>
                <c:pt idx="2">
                  <c:v>2914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7-4600-B83A-B1C37D31D456}"/>
            </c:ext>
          </c:extLst>
        </c:ser>
        <c:ser>
          <c:idx val="2"/>
          <c:order val="2"/>
          <c:tx>
            <c:strRef>
              <c:f>גיליון1!$T$33</c:f>
              <c:strCache>
                <c:ptCount val="1"/>
                <c:pt idx="0">
                  <c:v>נמחק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גיליון1!$U$30:$W$30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גיליון1!$U$33:$W$33</c:f>
              <c:numCache>
                <c:formatCode>#,##0</c:formatCode>
                <c:ptCount val="3"/>
                <c:pt idx="0">
                  <c:v>1793</c:v>
                </c:pt>
                <c:pt idx="1">
                  <c:v>2167</c:v>
                </c:pt>
                <c:pt idx="2">
                  <c:v>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7-4600-B83A-B1C37D31D456}"/>
            </c:ext>
          </c:extLst>
        </c:ser>
        <c:ser>
          <c:idx val="3"/>
          <c:order val="3"/>
          <c:tx>
            <c:strRef>
              <c:f>גיליון1!$T$34</c:f>
              <c:strCache>
                <c:ptCount val="1"/>
                <c:pt idx="0">
                  <c:v>אחר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גיליון1!$U$30:$W$30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גיליון1!$U$34:$W$34</c:f>
              <c:numCache>
                <c:formatCode>General</c:formatCode>
                <c:ptCount val="3"/>
                <c:pt idx="0">
                  <c:v>118</c:v>
                </c:pt>
                <c:pt idx="1">
                  <c:v>141</c:v>
                </c:pt>
                <c:pt idx="2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7-4600-B83A-B1C37D31D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5876416"/>
        <c:axId val="685871168"/>
      </c:barChart>
      <c:catAx>
        <c:axId val="6858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85871168"/>
        <c:crosses val="autoZero"/>
        <c:auto val="1"/>
        <c:lblAlgn val="ctr"/>
        <c:lblOffset val="100"/>
        <c:noMultiLvlLbl val="0"/>
      </c:catAx>
      <c:valAx>
        <c:axId val="6858711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858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 אורך חיי תיק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גיליון1!$A$52</c:f>
              <c:strCache>
                <c:ptCount val="1"/>
                <c:pt idx="0">
                  <c:v>תיק תעבורה תת"ע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(גיליון1!$C$51,גיליון1!$E$51,גיליון1!$G$51)</c:f>
              <c:strCache>
                <c:ptCount val="3"/>
                <c:pt idx="0">
                  <c:v>2022 ממוצע</c:v>
                </c:pt>
                <c:pt idx="1">
                  <c:v>2023 ממוצע</c:v>
                </c:pt>
                <c:pt idx="2">
                  <c:v>2024 ממוצע</c:v>
                </c:pt>
              </c:strCache>
            </c:strRef>
          </c:cat>
          <c:val>
            <c:numRef>
              <c:f>(גיליון1!$C$52,גיליון1!$E$52,גיליון1!$G$52)</c:f>
              <c:numCache>
                <c:formatCode>General</c:formatCode>
                <c:ptCount val="3"/>
                <c:pt idx="0">
                  <c:v>4.26</c:v>
                </c:pt>
                <c:pt idx="1">
                  <c:v>4.87</c:v>
                </c:pt>
                <c:pt idx="2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2-497F-B01E-26962D28606C}"/>
            </c:ext>
          </c:extLst>
        </c:ser>
        <c:ser>
          <c:idx val="1"/>
          <c:order val="1"/>
          <c:tx>
            <c:strRef>
              <c:f>גיליון1!$A$53</c:f>
              <c:strCache>
                <c:ptCount val="1"/>
                <c:pt idx="0">
                  <c:v>הארכת מועד לשפיטה המ"ש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(גיליון1!$C$51,גיליון1!$E$51,גיליון1!$G$51)</c:f>
              <c:strCache>
                <c:ptCount val="3"/>
                <c:pt idx="0">
                  <c:v>2022 ממוצע</c:v>
                </c:pt>
                <c:pt idx="1">
                  <c:v>2023 ממוצע</c:v>
                </c:pt>
                <c:pt idx="2">
                  <c:v>2024 ממוצע</c:v>
                </c:pt>
              </c:strCache>
            </c:strRef>
          </c:cat>
          <c:val>
            <c:numRef>
              <c:f>(גיליון1!$C$53,גיליון1!$E$53,גיליון1!$G$53)</c:f>
              <c:numCache>
                <c:formatCode>General</c:formatCode>
                <c:ptCount val="3"/>
                <c:pt idx="0">
                  <c:v>1.26</c:v>
                </c:pt>
                <c:pt idx="1">
                  <c:v>1.27</c:v>
                </c:pt>
                <c:pt idx="2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92-497F-B01E-26962D286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073912"/>
        <c:axId val="656074240"/>
      </c:lineChart>
      <c:catAx>
        <c:axId val="65607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6074240"/>
        <c:crosses val="autoZero"/>
        <c:auto val="1"/>
        <c:lblAlgn val="ctr"/>
        <c:lblOffset val="100"/>
        <c:noMultiLvlLbl val="0"/>
      </c:catAx>
      <c:valAx>
        <c:axId val="65607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5607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מספר דיוני הוכחות בתיקי תעבורה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גיליון1!$A$65</c:f>
              <c:strCache>
                <c:ptCount val="1"/>
                <c:pt idx="0">
                  <c:v>תיק תעבורה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גיליון1!$B$64:$F$64</c15:sqref>
                  </c15:fullRef>
                </c:ext>
              </c:extLst>
              <c:f>(גיליון1!$B$64,גיליון1!$D$64,גיליון1!$F$64)</c:f>
              <c:strCache>
                <c:ptCount val="3"/>
                <c:pt idx="0">
                  <c:v>2022 דיוני הוכחות</c:v>
                </c:pt>
                <c:pt idx="1">
                  <c:v>2023 דיוני הוכחות</c:v>
                </c:pt>
                <c:pt idx="2">
                  <c:v>2024 דיוני הוכחות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גיליון1!$B$65:$F$65</c15:sqref>
                  </c15:fullRef>
                </c:ext>
              </c:extLst>
              <c:f>(גיליון1!$B$65,גיליון1!$D$65,גיליון1!$F$65)</c:f>
              <c:numCache>
                <c:formatCode>0.00</c:formatCode>
                <c:ptCount val="3"/>
                <c:pt idx="0" formatCode="General">
                  <c:v>6531</c:v>
                </c:pt>
                <c:pt idx="1" formatCode="General">
                  <c:v>5119</c:v>
                </c:pt>
                <c:pt idx="2" formatCode="General">
                  <c:v>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4-4931-89AE-E39C872A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630624"/>
        <c:axId val="864630296"/>
      </c:barChart>
      <c:catAx>
        <c:axId val="8646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4630296"/>
        <c:crosses val="autoZero"/>
        <c:auto val="1"/>
        <c:lblAlgn val="ctr"/>
        <c:lblOffset val="100"/>
        <c:noMultiLvlLbl val="0"/>
      </c:catAx>
      <c:valAx>
        <c:axId val="864630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463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גיליון1!$A$90</c:f>
              <c:strCache>
                <c:ptCount val="1"/>
                <c:pt idx="0">
                  <c:v>ערעור פלילי תעבורה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גיליון1!$B$89:$H$89</c15:sqref>
                  </c15:fullRef>
                </c:ext>
              </c:extLst>
              <c:f>(גיליון1!$B$89,גיליון1!$E$89,גיליון1!$H$89)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גיליון1!$B$90:$H$90</c15:sqref>
                  </c15:fullRef>
                </c:ext>
              </c:extLst>
              <c:f>(גיליון1!$B$90,גיליון1!$E$90,גיליון1!$H$90)</c:f>
              <c:numCache>
                <c:formatCode>General</c:formatCode>
                <c:ptCount val="3"/>
                <c:pt idx="0">
                  <c:v>1042</c:v>
                </c:pt>
                <c:pt idx="1">
                  <c:v>1260</c:v>
                </c:pt>
                <c:pt idx="2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6-4806-A163-D47ACC22F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433032"/>
        <c:axId val="867429752"/>
      </c:barChart>
      <c:catAx>
        <c:axId val="86743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7429752"/>
        <c:crosses val="autoZero"/>
        <c:auto val="1"/>
        <c:lblAlgn val="ctr"/>
        <c:lblOffset val="100"/>
        <c:noMultiLvlLbl val="0"/>
      </c:catAx>
      <c:valAx>
        <c:axId val="86742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6743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סיום התיק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גיליון1!$X$29</c:f>
              <c:strCache>
                <c:ptCount val="1"/>
                <c:pt idx="0">
                  <c:v>הרשעה ואשמה ללא הרשעה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גיליון1!$Y$26:$AA$26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גיליון1!$Y$29:$AA$29</c:f>
              <c:numCache>
                <c:formatCode>0%</c:formatCode>
                <c:ptCount val="3"/>
                <c:pt idx="0">
                  <c:v>0.94231075398720721</c:v>
                </c:pt>
                <c:pt idx="1">
                  <c:v>0.9474529501800073</c:v>
                </c:pt>
                <c:pt idx="2">
                  <c:v>0.93149409073235134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09-4D98-BBF7-CEEB2FA1CC66}"/>
            </c:ext>
          </c:extLst>
        </c:ser>
        <c:ser>
          <c:idx val="3"/>
          <c:order val="3"/>
          <c:tx>
            <c:strRef>
              <c:f>גיליון1!$X$30</c:f>
              <c:strCache>
                <c:ptCount val="1"/>
                <c:pt idx="0">
                  <c:v>זיכוי מלא / חלקי / מחיקת אישום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גיליון1!$Y$26:$AA$26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גיליון1!$Y$30:$AA$30</c:f>
              <c:numCache>
                <c:formatCode>0%</c:formatCode>
                <c:ptCount val="3"/>
                <c:pt idx="0">
                  <c:v>3.323687241873402E-2</c:v>
                </c:pt>
                <c:pt idx="1">
                  <c:v>2.44572832905771E-2</c:v>
                </c:pt>
                <c:pt idx="2">
                  <c:v>3.0418938592445904E-2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09-4D98-BBF7-CEEB2FA1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663248"/>
        <c:axId val="796662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גיליון1!$X$27</c15:sqref>
                        </c15:formulaRef>
                      </c:ext>
                    </c:extLst>
                    <c:strCache>
                      <c:ptCount val="1"/>
                      <c:pt idx="0">
                        <c:v>אחר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גיליון1!$Y$26:$AA$26</c15:sqref>
                        </c15:formulaRef>
                      </c:ext>
                    </c:extLst>
                    <c:strCach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גיליון1!$Y$27:$AA$27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1.1706421674673858E-3</c:v>
                      </c:pt>
                      <c:pt idx="1">
                        <c:v>9.7009938129217241E-4</c:v>
                      </c:pt>
                      <c:pt idx="2">
                        <c:v>6.6010181844487249E-4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09-4D98-BBF7-CEEB2FA1CC6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גיליון1!$X$28</c15:sqref>
                        </c15:formulaRef>
                      </c:ext>
                    </c:extLst>
                    <c:strCache>
                      <c:ptCount val="1"/>
                      <c:pt idx="0">
                        <c:v>הפסקת הליכים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גיליון1!$Y$26:$AA$26</c15:sqref>
                        </c15:formulaRef>
                      </c:ext>
                    </c:extLst>
                    <c:strCach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גיליון1!$Y$28:$AA$28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5.9468622107343204E-3</c:v>
                      </c:pt>
                      <c:pt idx="1">
                        <c:v>6.3056459783991207E-3</c:v>
                      </c:pt>
                      <c:pt idx="2">
                        <c:v>1.0905243740335838E-2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909-4D98-BBF7-CEEB2FA1CC6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גיליון1!$X$31</c15:sqref>
                        </c15:formulaRef>
                      </c:ext>
                    </c:extLst>
                    <c:strCache>
                      <c:ptCount val="1"/>
                      <c:pt idx="0">
                        <c:v>צירוף תיקים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גיליון1!$Y$26:$AA$26</c15:sqref>
                        </c15:formulaRef>
                      </c:ext>
                    </c:extLst>
                    <c:strCach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גיליון1!$Y$31:$AA$31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1.733486921585705E-2</c:v>
                      </c:pt>
                      <c:pt idx="1">
                        <c:v>2.0814021169724275E-2</c:v>
                      </c:pt>
                      <c:pt idx="2">
                        <c:v>2.6521625116422066E-2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909-4D98-BBF7-CEEB2FA1CC66}"/>
                  </c:ext>
                </c:extLst>
              </c15:ser>
            </c15:filteredLineSeries>
          </c:ext>
        </c:extLst>
      </c:lineChart>
      <c:catAx>
        <c:axId val="7966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96662592"/>
        <c:crosses val="autoZero"/>
        <c:auto val="1"/>
        <c:lblAlgn val="ctr"/>
        <c:lblOffset val="100"/>
        <c:noMultiLvlLbl val="0"/>
      </c:catAx>
      <c:valAx>
        <c:axId val="796662592"/>
        <c:scaling>
          <c:orientation val="minMax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9666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אחוז הזיכויים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גיליון1!$AG$2</c:f>
              <c:strCache>
                <c:ptCount val="1"/>
                <c:pt idx="0">
                  <c:v>מספר תיקים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1681666230324898E-2"/>
                  <c:y val="2.3148148148148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8A-4C34-8465-9F64A987F4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גיליון1!$AF$3:$AF$5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גיליון1!$AG$3:$AG$5</c:f>
              <c:numCache>
                <c:formatCode>_(* #,##0.00_);_(* \(#,##0.00\);_(* "-"??_);_(@_)</c:formatCode>
                <c:ptCount val="3"/>
                <c:pt idx="0">
                  <c:v>106779</c:v>
                </c:pt>
                <c:pt idx="1">
                  <c:v>92774</c:v>
                </c:pt>
                <c:pt idx="2">
                  <c:v>110589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A-4C34-8465-9F64A987F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49504"/>
        <c:axId val="796852128"/>
      </c:barChart>
      <c:lineChart>
        <c:grouping val="standard"/>
        <c:varyColors val="0"/>
        <c:ser>
          <c:idx val="1"/>
          <c:order val="1"/>
          <c:tx>
            <c:strRef>
              <c:f>גיליון1!$AH$2</c:f>
              <c:strCache>
                <c:ptCount val="1"/>
                <c:pt idx="0">
                  <c:v>אחוז זיכויים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024019479507323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8A-4C34-8465-9F64A987F4F9}"/>
                </c:ext>
              </c:extLst>
            </c:dLbl>
            <c:dLbl>
              <c:idx val="1"/>
              <c:layout>
                <c:manualLayout>
                  <c:x val="-3.8438431167211802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C34-8465-9F64A987F4F9}"/>
                </c:ext>
              </c:extLst>
            </c:dLbl>
            <c:dLbl>
              <c:idx val="2"/>
              <c:layout>
                <c:manualLayout>
                  <c:x val="3.6036029219260982E-2"/>
                  <c:y val="-3.2407407407407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8A-4C34-8465-9F64A987F4F9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גיליון1!$AF$3:$AF$5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גיליון1!$AH$3:$AH$5</c:f>
              <c:numCache>
                <c:formatCode>0%</c:formatCode>
                <c:ptCount val="3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A-4C34-8465-9F64A987F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457472"/>
        <c:axId val="926456816"/>
      </c:lineChart>
      <c:catAx>
        <c:axId val="79684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96852128"/>
        <c:crosses val="autoZero"/>
        <c:auto val="1"/>
        <c:lblAlgn val="ctr"/>
        <c:lblOffset val="100"/>
        <c:noMultiLvlLbl val="0"/>
      </c:catAx>
      <c:valAx>
        <c:axId val="796852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96849504"/>
        <c:crosses val="autoZero"/>
        <c:crossBetween val="between"/>
      </c:valAx>
      <c:valAx>
        <c:axId val="926456816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26457472"/>
        <c:crosses val="max"/>
        <c:crossBetween val="between"/>
      </c:valAx>
      <c:catAx>
        <c:axId val="926457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64568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81401</xdr:colOff>
      <xdr:row>7</xdr:row>
      <xdr:rowOff>180341</xdr:rowOff>
    </xdr:from>
    <xdr:to>
      <xdr:col>11</xdr:col>
      <xdr:colOff>555020</xdr:colOff>
      <xdr:row>20</xdr:row>
      <xdr:rowOff>142574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64DBD75A-12D7-48DD-8212-A597A9602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467240</xdr:colOff>
      <xdr:row>22</xdr:row>
      <xdr:rowOff>65978</xdr:rowOff>
    </xdr:from>
    <xdr:to>
      <xdr:col>11</xdr:col>
      <xdr:colOff>337760</xdr:colOff>
      <xdr:row>36</xdr:row>
      <xdr:rowOff>195821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DE5430D5-2A79-45A2-8ECD-7E12E4AFE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60960</xdr:colOff>
      <xdr:row>41</xdr:row>
      <xdr:rowOff>144780</xdr:rowOff>
    </xdr:from>
    <xdr:to>
      <xdr:col>20</xdr:col>
      <xdr:colOff>281940</xdr:colOff>
      <xdr:row>56</xdr:row>
      <xdr:rowOff>177165</xdr:rowOff>
    </xdr:to>
    <xdr:graphicFrame macro="">
      <xdr:nvGraphicFramePr>
        <xdr:cNvPr id="9" name="תרשים 8">
          <a:extLst>
            <a:ext uri="{FF2B5EF4-FFF2-40B4-BE49-F238E27FC236}">
              <a16:creationId xmlns:a16="http://schemas.microsoft.com/office/drawing/2014/main" id="{1D05C7FF-3F11-4850-A759-CAFFC34AC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463974</xdr:colOff>
      <xdr:row>57</xdr:row>
      <xdr:rowOff>160021</xdr:rowOff>
    </xdr:from>
    <xdr:to>
      <xdr:col>19</xdr:col>
      <xdr:colOff>977054</xdr:colOff>
      <xdr:row>67</xdr:row>
      <xdr:rowOff>370417</xdr:rowOff>
    </xdr:to>
    <xdr:graphicFrame macro="">
      <xdr:nvGraphicFramePr>
        <xdr:cNvPr id="10" name="תרשים 9">
          <a:extLst>
            <a:ext uri="{FF2B5EF4-FFF2-40B4-BE49-F238E27FC236}">
              <a16:creationId xmlns:a16="http://schemas.microsoft.com/office/drawing/2014/main" id="{17CD363D-0E05-4FE9-9649-22E702870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582084</xdr:colOff>
      <xdr:row>76</xdr:row>
      <xdr:rowOff>173567</xdr:rowOff>
    </xdr:from>
    <xdr:to>
      <xdr:col>19</xdr:col>
      <xdr:colOff>1026584</xdr:colOff>
      <xdr:row>91</xdr:row>
      <xdr:rowOff>101601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5BE31F61-6C24-4662-9B8C-DDF4881AD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645583</xdr:colOff>
      <xdr:row>91</xdr:row>
      <xdr:rowOff>110067</xdr:rowOff>
    </xdr:from>
    <xdr:to>
      <xdr:col>12</xdr:col>
      <xdr:colOff>1777999</xdr:colOff>
      <xdr:row>106</xdr:row>
      <xdr:rowOff>154517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457E45BA-55D1-4B11-BD8E-46F60FC04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957791</xdr:colOff>
      <xdr:row>6</xdr:row>
      <xdr:rowOff>168274</xdr:rowOff>
    </xdr:from>
    <xdr:to>
      <xdr:col>21</xdr:col>
      <xdr:colOff>661458</xdr:colOff>
      <xdr:row>20</xdr:row>
      <xdr:rowOff>170391</xdr:rowOff>
    </xdr:to>
    <xdr:graphicFrame macro="">
      <xdr:nvGraphicFramePr>
        <xdr:cNvPr id="11" name="תרשים 10">
          <a:extLst>
            <a:ext uri="{FF2B5EF4-FFF2-40B4-BE49-F238E27FC236}">
              <a16:creationId xmlns:a16="http://schemas.microsoft.com/office/drawing/2014/main" id="{E741C484-078D-43D8-94FF-69B814CDA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179917</xdr:colOff>
      <xdr:row>8</xdr:row>
      <xdr:rowOff>9524</xdr:rowOff>
    </xdr:from>
    <xdr:to>
      <xdr:col>37</xdr:col>
      <xdr:colOff>79376</xdr:colOff>
      <xdr:row>22</xdr:row>
      <xdr:rowOff>32808</xdr:rowOff>
    </xdr:to>
    <xdr:graphicFrame macro="">
      <xdr:nvGraphicFramePr>
        <xdr:cNvPr id="14" name="תרשים 13">
          <a:extLst>
            <a:ext uri="{FF2B5EF4-FFF2-40B4-BE49-F238E27FC236}">
              <a16:creationId xmlns:a16="http://schemas.microsoft.com/office/drawing/2014/main" id="{291000A1-1F16-4974-BAB5-BBED76FE8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lomit Cohen (Planning)" refreshedDate="45917.555175578702" createdVersion="7" refreshedVersion="7" minRefreshableVersion="3" recordCount="14" xr:uid="{DB646245-C6D2-4167-BA95-13AF67C35018}">
  <cacheSource type="worksheet">
    <worksheetSource ref="N2:R16" sheet="גיליון1"/>
  </cacheSource>
  <cacheFields count="5">
    <cacheField name="2022" numFmtId="0">
      <sharedItems containsString="0" containsBlank="1" containsNumber="1" containsInteger="1" minValue="1" maxValue="100565" count="12">
        <n v="100565"/>
        <n v="3474"/>
        <n v="1851"/>
        <n v="635"/>
        <n v="114"/>
        <n v="75"/>
        <n v="54"/>
        <n v="5"/>
        <n v="2"/>
        <n v="3"/>
        <n v="1"/>
        <m/>
      </sharedItems>
    </cacheField>
    <cacheField name="2023" numFmtId="0">
      <sharedItems containsString="0" containsBlank="1" containsNumber="1" containsInteger="1" minValue="1" maxValue="87869" count="9">
        <n v="87869"/>
        <n v="2208"/>
        <n v="1931"/>
        <n v="585"/>
        <n v="87"/>
        <n v="61"/>
        <n v="30"/>
        <n v="1"/>
        <m/>
      </sharedItems>
    </cacheField>
    <cacheField name="2024" numFmtId="0">
      <sharedItems containsString="0" containsBlank="1" containsNumber="1" containsInteger="1" minValue="1" maxValue="102955" count="11">
        <n v="102955"/>
        <n v="3301"/>
        <n v="2933"/>
        <n v="1206"/>
        <n v="64"/>
        <n v="63"/>
        <n v="58"/>
        <n v="6"/>
        <n v="2"/>
        <m/>
        <n v="1"/>
      </sharedItems>
    </cacheField>
    <cacheField name="2025" numFmtId="0">
      <sharedItems containsString="0" containsBlank="1" containsNumber="1" containsInteger="1" minValue="1" maxValue="55292"/>
    </cacheField>
    <cacheField name="קידוד הקטגוריות" numFmtId="0">
      <sharedItems count="5">
        <s v="הרשעה ואשמה ללא הרשעה"/>
        <s v="זיכוי מלא / חלקי / מחיקת אישום"/>
        <s v="צירוף תיקים"/>
        <s v="הפסקת הליכים "/>
        <s v="אחר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n v="55292"/>
    <x v="0"/>
  </r>
  <r>
    <x v="1"/>
    <x v="1"/>
    <x v="1"/>
    <n v="997"/>
    <x v="1"/>
  </r>
  <r>
    <x v="2"/>
    <x v="2"/>
    <x v="2"/>
    <n v="1771"/>
    <x v="2"/>
  </r>
  <r>
    <x v="3"/>
    <x v="3"/>
    <x v="3"/>
    <n v="601"/>
    <x v="3"/>
  </r>
  <r>
    <x v="4"/>
    <x v="4"/>
    <x v="4"/>
    <n v="48"/>
    <x v="4"/>
  </r>
  <r>
    <x v="5"/>
    <x v="5"/>
    <x v="5"/>
    <n v="27"/>
    <x v="1"/>
  </r>
  <r>
    <x v="6"/>
    <x v="6"/>
    <x v="6"/>
    <n v="31"/>
    <x v="0"/>
  </r>
  <r>
    <x v="7"/>
    <x v="7"/>
    <x v="7"/>
    <n v="9"/>
    <x v="4"/>
  </r>
  <r>
    <x v="8"/>
    <x v="7"/>
    <x v="8"/>
    <m/>
    <x v="4"/>
  </r>
  <r>
    <x v="9"/>
    <x v="7"/>
    <x v="9"/>
    <m/>
    <x v="4"/>
  </r>
  <r>
    <x v="10"/>
    <x v="8"/>
    <x v="9"/>
    <n v="1"/>
    <x v="4"/>
  </r>
  <r>
    <x v="11"/>
    <x v="8"/>
    <x v="10"/>
    <m/>
    <x v="4"/>
  </r>
  <r>
    <x v="11"/>
    <x v="8"/>
    <x v="9"/>
    <n v="1"/>
    <x v="4"/>
  </r>
  <r>
    <x v="11"/>
    <x v="8"/>
    <x v="9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9C289-18FF-4D60-A416-42270B29EA4D}" name="PivotTable2" cacheId="5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X10:X16" firstHeaderRow="1" firstDataRow="1" firstDataCol="1"/>
  <pivotFields count="5">
    <pivotField showAll="0">
      <items count="13">
        <item x="10"/>
        <item x="8"/>
        <item x="9"/>
        <item x="7"/>
        <item x="6"/>
        <item x="5"/>
        <item x="4"/>
        <item x="3"/>
        <item x="2"/>
        <item x="1"/>
        <item x="0"/>
        <item x="11"/>
        <item t="default"/>
      </items>
    </pivotField>
    <pivotField showAll="0">
      <items count="10">
        <item x="7"/>
        <item x="6"/>
        <item x="5"/>
        <item x="4"/>
        <item x="3"/>
        <item x="2"/>
        <item x="1"/>
        <item x="0"/>
        <item x="8"/>
        <item t="default"/>
      </items>
    </pivotField>
    <pivotField showAll="0">
      <items count="12">
        <item x="10"/>
        <item x="8"/>
        <item x="7"/>
        <item x="6"/>
        <item x="5"/>
        <item x="4"/>
        <item x="3"/>
        <item x="2"/>
        <item x="1"/>
        <item x="0"/>
        <item x="9"/>
        <item t="default"/>
      </items>
    </pivotField>
    <pivotField showAll="0"/>
    <pivotField axis="axisRow" showAll="0">
      <items count="6">
        <item x="4"/>
        <item x="3"/>
        <item x="0"/>
        <item x="1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110DC-6A92-4353-BE2A-D4B315814A54}" name="PivotTable1" cacheId="5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>
  <location ref="X2:X8" firstHeaderRow="1" firstDataRow="1" firstDataCol="1"/>
  <pivotFields count="5">
    <pivotField showAll="0">
      <items count="13">
        <item x="10"/>
        <item x="8"/>
        <item x="9"/>
        <item x="7"/>
        <item x="6"/>
        <item x="5"/>
        <item x="4"/>
        <item x="3"/>
        <item x="2"/>
        <item x="1"/>
        <item x="0"/>
        <item x="11"/>
        <item t="default"/>
      </items>
    </pivotField>
    <pivotField showAll="0">
      <items count="10">
        <item x="7"/>
        <item x="6"/>
        <item x="5"/>
        <item x="4"/>
        <item x="3"/>
        <item x="2"/>
        <item x="1"/>
        <item x="0"/>
        <item x="8"/>
        <item t="default"/>
      </items>
    </pivotField>
    <pivotField showAll="0">
      <items count="12">
        <item x="10"/>
        <item x="8"/>
        <item x="7"/>
        <item x="6"/>
        <item x="5"/>
        <item x="4"/>
        <item x="3"/>
        <item x="2"/>
        <item x="1"/>
        <item x="0"/>
        <item x="9"/>
        <item t="default"/>
      </items>
    </pivotField>
    <pivotField showAll="0"/>
    <pivotField axis="axisRow" showAll="0">
      <items count="6">
        <item x="4"/>
        <item x="3"/>
        <item x="0"/>
        <item x="1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5CCB6-2490-427E-966B-635C9AB4314A}" name="טבלה1" displayName="טבלה1" ref="T30:W34" totalsRowShown="0" headerRowDxfId="12" dataDxfId="10" headerRowBorderDxfId="11" tableBorderDxfId="9">
  <autoFilter ref="T30:W34" xr:uid="{6545CCB6-2490-427E-966B-635C9AB4314A}"/>
  <tableColumns count="4">
    <tableColumn id="1" xr3:uid="{3BD7DA6E-1575-4BB0-996F-0C2039F6BF34}" name="סוגי תיקים / תוצאות סגירה" dataDxfId="8"/>
    <tableColumn id="2" xr3:uid="{2F8B4347-5A21-4B6E-A679-D5D66EC6A883}" name="2022" dataDxfId="7"/>
    <tableColumn id="3" xr3:uid="{7AB9847B-45EA-4DE6-BA04-0759C3AE9F7C}" name="2023" dataDxfId="6"/>
    <tableColumn id="4" xr3:uid="{B77083B9-C83B-4F6E-B14A-F521655AADE2}" name="2024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8EF6E-F962-4AC4-9C05-EA74A88A61E6}" name="טבלה2" displayName="טבלה2" ref="X26:AA31" totalsRowShown="0" dataDxfId="3" dataCellStyle="Percent">
  <autoFilter ref="X26:AA31" xr:uid="{25B8EF6E-F962-4AC4-9C05-EA74A88A61E6}"/>
  <tableColumns count="4">
    <tableColumn id="1" xr3:uid="{7129BE95-3D1B-483B-BFD6-5CDB1898F0CB}" name="סיום התיק"/>
    <tableColumn id="2" xr3:uid="{62325416-E5C7-4B65-8F52-48B04141F7C3}" name="2022" dataDxfId="2" dataCellStyle="Percent"/>
    <tableColumn id="3" xr3:uid="{5AE062E8-554B-4B4D-9530-25A36D395287}" name="2023" dataDxfId="1" dataCellStyle="Percent"/>
    <tableColumn id="4" xr3:uid="{B93120B6-2A3F-442B-9B78-2E45AA642A46}" name="2024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A3F7-E40C-407C-8DA7-040E6DC628EF}">
  <dimension ref="A1:AI134"/>
  <sheetViews>
    <sheetView rightToLeft="1" tabSelected="1" topLeftCell="A60" zoomScale="90" zoomScaleNormal="90" workbookViewId="0">
      <selection activeCell="N68" sqref="N68"/>
    </sheetView>
  </sheetViews>
  <sheetFormatPr defaultRowHeight="14.25" x14ac:dyDescent="0.2"/>
  <cols>
    <col min="1" max="1" width="32.625" bestFit="1" customWidth="1"/>
    <col min="3" max="3" width="15.25" customWidth="1"/>
    <col min="13" max="13" width="23.875" customWidth="1"/>
    <col min="18" max="18" width="23.75" bestFit="1" customWidth="1"/>
    <col min="20" max="20" width="22.125" customWidth="1"/>
    <col min="24" max="24" width="23.75" bestFit="1" customWidth="1"/>
    <col min="25" max="25" width="9.625" customWidth="1"/>
    <col min="26" max="26" width="6.625" customWidth="1"/>
    <col min="27" max="27" width="7.375" bestFit="1" customWidth="1"/>
    <col min="28" max="28" width="5.375" bestFit="1" customWidth="1"/>
    <col min="29" max="29" width="5.875" bestFit="1" customWidth="1"/>
    <col min="30" max="30" width="8.375" bestFit="1" customWidth="1"/>
    <col min="31" max="31" width="4.875" bestFit="1" customWidth="1"/>
    <col min="32" max="32" width="7.875" customWidth="1"/>
    <col min="33" max="33" width="11" bestFit="1" customWidth="1"/>
    <col min="34" max="34" width="4.875" bestFit="1" customWidth="1"/>
    <col min="35" max="35" width="6.875" customWidth="1"/>
    <col min="36" max="36" width="4" bestFit="1" customWidth="1"/>
    <col min="37" max="37" width="8.125" bestFit="1" customWidth="1"/>
    <col min="38" max="38" width="8.375" bestFit="1" customWidth="1"/>
    <col min="39" max="39" width="5.625" bestFit="1" customWidth="1"/>
    <col min="40" max="40" width="8.375" bestFit="1" customWidth="1"/>
    <col min="41" max="41" width="6.625" bestFit="1" customWidth="1"/>
    <col min="42" max="42" width="9.375" bestFit="1" customWidth="1"/>
    <col min="43" max="43" width="6.625" bestFit="1" customWidth="1"/>
    <col min="44" max="44" width="9.375" bestFit="1" customWidth="1"/>
    <col min="45" max="45" width="8.625" bestFit="1" customWidth="1"/>
    <col min="46" max="46" width="11.375" bestFit="1" customWidth="1"/>
    <col min="47" max="47" width="6.5" bestFit="1" customWidth="1"/>
    <col min="48" max="48" width="9.25" bestFit="1" customWidth="1"/>
    <col min="49" max="49" width="8.125" bestFit="1" customWidth="1"/>
    <col min="50" max="51" width="9.375" bestFit="1" customWidth="1"/>
    <col min="52" max="52" width="6.625" bestFit="1" customWidth="1"/>
    <col min="53" max="54" width="9.375" bestFit="1" customWidth="1"/>
    <col min="55" max="55" width="8.625" bestFit="1" customWidth="1"/>
    <col min="56" max="56" width="10.375" bestFit="1" customWidth="1"/>
    <col min="57" max="57" width="11.375" bestFit="1" customWidth="1"/>
    <col min="58" max="58" width="6.5" bestFit="1" customWidth="1"/>
    <col min="59" max="59" width="4.75" bestFit="1" customWidth="1"/>
    <col min="60" max="61" width="9.25" bestFit="1" customWidth="1"/>
    <col min="62" max="62" width="8.125" bestFit="1" customWidth="1"/>
  </cols>
  <sheetData>
    <row r="1" spans="1:35" ht="18" x14ac:dyDescent="0.25">
      <c r="A1" s="40" t="s">
        <v>102</v>
      </c>
      <c r="B1" s="40"/>
      <c r="C1" s="40"/>
      <c r="D1" s="40"/>
      <c r="E1" s="40"/>
      <c r="F1" s="40"/>
      <c r="M1" s="40" t="s">
        <v>105</v>
      </c>
      <c r="N1" s="40"/>
      <c r="O1" s="40"/>
      <c r="P1" s="40"/>
      <c r="Q1" s="40"/>
      <c r="R1" s="40"/>
    </row>
    <row r="2" spans="1:35" ht="15.75" thickBot="1" x14ac:dyDescent="0.25">
      <c r="B2" s="7">
        <v>2022</v>
      </c>
      <c r="C2" s="7">
        <v>2023</v>
      </c>
      <c r="D2" s="7">
        <v>2024</v>
      </c>
      <c r="E2" s="7">
        <v>2025</v>
      </c>
      <c r="F2" s="8" t="s">
        <v>10</v>
      </c>
      <c r="H2" s="7">
        <v>2022</v>
      </c>
      <c r="I2" s="7">
        <v>2023</v>
      </c>
      <c r="J2" s="7">
        <v>2024</v>
      </c>
      <c r="K2" s="7">
        <v>2025</v>
      </c>
      <c r="N2" s="7">
        <v>2022</v>
      </c>
      <c r="O2" s="7">
        <v>2023</v>
      </c>
      <c r="P2" s="7">
        <v>2024</v>
      </c>
      <c r="Q2" s="7">
        <v>2025</v>
      </c>
      <c r="R2" t="s">
        <v>112</v>
      </c>
      <c r="S2" s="7">
        <v>2022</v>
      </c>
      <c r="T2" s="7">
        <v>2023</v>
      </c>
      <c r="U2" s="7">
        <v>2024</v>
      </c>
      <c r="V2" s="7">
        <v>2025</v>
      </c>
      <c r="X2" s="47" t="s">
        <v>115</v>
      </c>
      <c r="Y2" s="49">
        <v>2022</v>
      </c>
      <c r="Z2" s="49">
        <v>2023</v>
      </c>
      <c r="AA2" s="49">
        <v>2024</v>
      </c>
      <c r="AG2" t="s">
        <v>117</v>
      </c>
      <c r="AH2" t="s">
        <v>118</v>
      </c>
      <c r="AI2" t="s">
        <v>119</v>
      </c>
    </row>
    <row r="3" spans="1:35" ht="15" thickBot="1" x14ac:dyDescent="0.25">
      <c r="A3" s="3" t="s">
        <v>1</v>
      </c>
      <c r="B3" s="4">
        <v>64288</v>
      </c>
      <c r="C3" s="4">
        <v>57110</v>
      </c>
      <c r="D3" s="4">
        <v>37902</v>
      </c>
      <c r="E3" s="4">
        <v>20110</v>
      </c>
      <c r="F3" s="4">
        <v>179410</v>
      </c>
      <c r="G3" s="3" t="s">
        <v>1</v>
      </c>
      <c r="H3" s="12">
        <f t="shared" ref="H3:K4" si="0">B3/B$12</f>
        <v>0.60206594929714641</v>
      </c>
      <c r="I3" s="12">
        <f t="shared" si="0"/>
        <v>0.61558195183995512</v>
      </c>
      <c r="J3" s="12">
        <f t="shared" si="0"/>
        <v>0.34272848113284321</v>
      </c>
      <c r="K3" s="12">
        <f t="shared" si="0"/>
        <v>0.34212899164667654</v>
      </c>
      <c r="M3" s="3" t="s">
        <v>93</v>
      </c>
      <c r="N3" s="4">
        <v>100565</v>
      </c>
      <c r="O3" s="4">
        <v>87869</v>
      </c>
      <c r="P3" s="4">
        <v>102955</v>
      </c>
      <c r="Q3" s="4">
        <v>55292</v>
      </c>
      <c r="R3" t="s">
        <v>113</v>
      </c>
      <c r="S3" s="12">
        <f>N3/N$17</f>
        <v>0.94180503657086134</v>
      </c>
      <c r="T3" s="12">
        <f t="shared" ref="T3:V3" si="1">O3/O$17</f>
        <v>0.94712958371957656</v>
      </c>
      <c r="U3" s="12">
        <f t="shared" si="1"/>
        <v>0.93096962627386082</v>
      </c>
      <c r="V3" s="12">
        <f t="shared" si="1"/>
        <v>0.9406760918014937</v>
      </c>
      <c r="X3" s="48" t="s">
        <v>75</v>
      </c>
      <c r="Y3">
        <f>N7+N10+N11+N12+N13+N14+N15+N16</f>
        <v>125</v>
      </c>
      <c r="Z3">
        <f>O7+O10+O11+O12+O13+O14+O15+O16</f>
        <v>90</v>
      </c>
      <c r="AA3">
        <f>P7+P10+P11+P12+P13+P14+P15+P16</f>
        <v>73</v>
      </c>
      <c r="AF3">
        <v>2022</v>
      </c>
      <c r="AG3" s="52">
        <v>106779</v>
      </c>
      <c r="AH3" s="11">
        <v>0.03</v>
      </c>
      <c r="AI3" s="11">
        <v>0.94</v>
      </c>
    </row>
    <row r="4" spans="1:35" ht="15" thickBot="1" x14ac:dyDescent="0.25">
      <c r="A4" s="3" t="s">
        <v>2</v>
      </c>
      <c r="B4" s="4">
        <v>38264</v>
      </c>
      <c r="C4" s="4">
        <v>32782</v>
      </c>
      <c r="D4" s="4">
        <v>68114</v>
      </c>
      <c r="E4" s="4">
        <v>37022</v>
      </c>
      <c r="F4" s="4">
        <v>176182</v>
      </c>
      <c r="G4" s="3" t="s">
        <v>2</v>
      </c>
      <c r="H4" s="12">
        <f t="shared" si="0"/>
        <v>0.35834761516777641</v>
      </c>
      <c r="I4" s="12">
        <f t="shared" si="0"/>
        <v>0.35335331019466659</v>
      </c>
      <c r="J4" s="12">
        <f>D4/D$12</f>
        <v>0.61592020906238409</v>
      </c>
      <c r="K4" s="12">
        <f t="shared" si="0"/>
        <v>0.62985079705336944</v>
      </c>
      <c r="M4" s="3" t="s">
        <v>90</v>
      </c>
      <c r="N4" s="4">
        <v>3474</v>
      </c>
      <c r="O4" s="4">
        <v>2208</v>
      </c>
      <c r="P4" s="4">
        <v>3301</v>
      </c>
      <c r="Q4" s="5">
        <v>997</v>
      </c>
      <c r="R4" t="s">
        <v>114</v>
      </c>
      <c r="S4" s="12">
        <f t="shared" ref="S4:S5" si="2">N4/N$17</f>
        <v>3.2534487118253588E-2</v>
      </c>
      <c r="T4" s="12">
        <f t="shared" ref="T4:T5" si="3">O4/O$17</f>
        <v>2.3799771487701297E-2</v>
      </c>
      <c r="U4" s="12">
        <f t="shared" ref="U4:U5" si="4">P4/P$17</f>
        <v>2.9849261680637316E-2</v>
      </c>
      <c r="V4" s="12">
        <f t="shared" ref="V4:V5" si="5">Q4/Q$17</f>
        <v>1.6961840112965514E-2</v>
      </c>
      <c r="X4" s="48" t="s">
        <v>95</v>
      </c>
      <c r="Y4">
        <f>N6</f>
        <v>635</v>
      </c>
      <c r="Z4">
        <f>O6</f>
        <v>585</v>
      </c>
      <c r="AA4">
        <f>P6</f>
        <v>1206</v>
      </c>
      <c r="AF4">
        <v>2023</v>
      </c>
      <c r="AG4" s="52">
        <v>92774</v>
      </c>
      <c r="AH4" s="11">
        <v>0.02</v>
      </c>
      <c r="AI4" s="11">
        <v>0.95</v>
      </c>
    </row>
    <row r="5" spans="1:35" ht="15" thickBot="1" x14ac:dyDescent="0.25">
      <c r="A5" s="3" t="s">
        <v>3</v>
      </c>
      <c r="B5" s="4">
        <v>2145</v>
      </c>
      <c r="C5" s="4">
        <v>1557</v>
      </c>
      <c r="D5" s="4">
        <v>2099</v>
      </c>
      <c r="E5" s="5">
        <v>729</v>
      </c>
      <c r="F5" s="4">
        <v>6530</v>
      </c>
      <c r="G5" t="s">
        <v>75</v>
      </c>
      <c r="H5" s="11">
        <v>3.9586435535077118E-2</v>
      </c>
      <c r="I5" s="11">
        <v>3.1064737965378227E-2</v>
      </c>
      <c r="J5" s="11">
        <v>4.1351309804772619E-2</v>
      </c>
      <c r="K5" s="11">
        <v>2.8020211299954061E-2</v>
      </c>
      <c r="M5" s="3" t="s">
        <v>94</v>
      </c>
      <c r="N5" s="4">
        <v>1851</v>
      </c>
      <c r="O5" s="4">
        <v>1931</v>
      </c>
      <c r="P5" s="4">
        <v>2933</v>
      </c>
      <c r="Q5" s="4">
        <v>1771</v>
      </c>
      <c r="R5" t="s">
        <v>94</v>
      </c>
      <c r="S5" s="12">
        <f t="shared" si="2"/>
        <v>1.733486921585705E-2</v>
      </c>
      <c r="T5" s="12">
        <f t="shared" si="3"/>
        <v>2.0814021169724275E-2</v>
      </c>
      <c r="U5" s="12">
        <f t="shared" si="4"/>
        <v>2.6521625116422066E-2</v>
      </c>
      <c r="V5" s="12">
        <f t="shared" si="5"/>
        <v>3.0129808264856495E-2</v>
      </c>
      <c r="X5" s="48" t="s">
        <v>113</v>
      </c>
      <c r="Y5" s="50">
        <f>N3+N9</f>
        <v>100619</v>
      </c>
      <c r="Z5" s="50">
        <f>O3+O9</f>
        <v>87899</v>
      </c>
      <c r="AA5" s="50">
        <f>P3+P9</f>
        <v>103013</v>
      </c>
      <c r="AF5">
        <v>2024</v>
      </c>
      <c r="AG5" s="52">
        <v>110589</v>
      </c>
      <c r="AH5" s="11">
        <v>0.03</v>
      </c>
      <c r="AI5" s="11">
        <v>0.93</v>
      </c>
    </row>
    <row r="6" spans="1:35" ht="15" thickBot="1" x14ac:dyDescent="0.25">
      <c r="A6" s="3" t="s">
        <v>4</v>
      </c>
      <c r="B6" s="4">
        <v>1329</v>
      </c>
      <c r="C6" s="5">
        <v>651</v>
      </c>
      <c r="D6" s="4">
        <v>1202</v>
      </c>
      <c r="E6" s="5">
        <v>268</v>
      </c>
      <c r="F6" s="4">
        <v>3450</v>
      </c>
      <c r="H6" s="12"/>
      <c r="I6" s="12"/>
      <c r="J6" s="12"/>
      <c r="K6" s="12"/>
      <c r="M6" s="3" t="s">
        <v>95</v>
      </c>
      <c r="N6" s="5">
        <v>635</v>
      </c>
      <c r="O6" s="5">
        <v>585</v>
      </c>
      <c r="P6" s="4">
        <v>1206</v>
      </c>
      <c r="Q6" s="5">
        <v>601</v>
      </c>
      <c r="R6" t="s">
        <v>95</v>
      </c>
      <c r="S6" s="12">
        <v>8.3256070950280484E-3</v>
      </c>
      <c r="T6" s="12">
        <v>8.2566236229978211E-3</v>
      </c>
      <c r="U6" s="12">
        <v>1.2659486929079746E-2</v>
      </c>
      <c r="V6" s="12">
        <v>1.2232259820684255E-2</v>
      </c>
      <c r="X6" s="48" t="s">
        <v>114</v>
      </c>
      <c r="Y6" s="50">
        <f>N8+N4</f>
        <v>3549</v>
      </c>
      <c r="Z6" s="50">
        <f>O8+O4</f>
        <v>2269</v>
      </c>
      <c r="AA6" s="50">
        <f>P8+P4</f>
        <v>3364</v>
      </c>
    </row>
    <row r="7" spans="1:35" ht="15" thickBot="1" x14ac:dyDescent="0.25">
      <c r="A7" s="3" t="s">
        <v>5</v>
      </c>
      <c r="B7" s="5">
        <v>630</v>
      </c>
      <c r="C7" s="5">
        <v>577</v>
      </c>
      <c r="D7" s="4">
        <v>1202</v>
      </c>
      <c r="E7" s="5">
        <v>594</v>
      </c>
      <c r="F7" s="4">
        <v>3003</v>
      </c>
      <c r="H7" s="12"/>
      <c r="I7" s="12"/>
      <c r="J7" s="12"/>
      <c r="K7" s="12"/>
      <c r="M7" s="3" t="s">
        <v>83</v>
      </c>
      <c r="N7" s="5">
        <v>114</v>
      </c>
      <c r="O7" s="5">
        <v>87</v>
      </c>
      <c r="P7" s="5">
        <v>64</v>
      </c>
      <c r="Q7" s="5">
        <v>48</v>
      </c>
      <c r="R7" t="s">
        <v>75</v>
      </c>
      <c r="S7" s="12"/>
      <c r="T7" s="12"/>
      <c r="U7" s="12"/>
      <c r="V7" s="12"/>
      <c r="X7" s="48" t="s">
        <v>94</v>
      </c>
      <c r="Y7" s="50">
        <f>N5</f>
        <v>1851</v>
      </c>
      <c r="Z7" s="50">
        <f>O5</f>
        <v>1931</v>
      </c>
      <c r="AA7" s="50">
        <f>P5</f>
        <v>2933</v>
      </c>
    </row>
    <row r="8" spans="1:35" ht="15" thickBot="1" x14ac:dyDescent="0.25">
      <c r="A8" s="3" t="s">
        <v>6</v>
      </c>
      <c r="B8" s="5">
        <v>114</v>
      </c>
      <c r="C8" s="5">
        <v>87</v>
      </c>
      <c r="D8" s="5">
        <v>64</v>
      </c>
      <c r="E8" s="5">
        <v>48</v>
      </c>
      <c r="F8" s="5">
        <v>313</v>
      </c>
      <c r="H8" s="12"/>
      <c r="I8" s="12"/>
      <c r="J8" s="12"/>
      <c r="K8" s="12"/>
      <c r="M8" s="3" t="s">
        <v>96</v>
      </c>
      <c r="N8" s="5">
        <v>75</v>
      </c>
      <c r="O8" s="5">
        <v>61</v>
      </c>
      <c r="P8" s="5">
        <v>63</v>
      </c>
      <c r="Q8" s="5">
        <v>27</v>
      </c>
      <c r="R8" t="s">
        <v>114</v>
      </c>
      <c r="S8" s="12"/>
      <c r="T8" s="12"/>
      <c r="U8" s="12"/>
      <c r="V8" s="12"/>
      <c r="X8" s="48" t="s">
        <v>10</v>
      </c>
      <c r="Y8">
        <f>SUM(Y3:Y7)</f>
        <v>106779</v>
      </c>
      <c r="Z8">
        <f t="shared" ref="Z8:AA8" si="6">SUM(Z3:Z7)</f>
        <v>92774</v>
      </c>
      <c r="AA8">
        <f t="shared" si="6"/>
        <v>110589</v>
      </c>
    </row>
    <row r="9" spans="1:35" ht="15" thickBot="1" x14ac:dyDescent="0.25">
      <c r="A9" s="3" t="s">
        <v>7</v>
      </c>
      <c r="B9" s="5">
        <v>6</v>
      </c>
      <c r="C9" s="5">
        <v>7</v>
      </c>
      <c r="D9" s="5">
        <v>5</v>
      </c>
      <c r="E9" s="5">
        <v>7</v>
      </c>
      <c r="F9" s="5">
        <v>25</v>
      </c>
      <c r="H9" s="12"/>
      <c r="I9" s="12"/>
      <c r="J9" s="12"/>
      <c r="K9" s="12"/>
      <c r="M9" s="3" t="s">
        <v>97</v>
      </c>
      <c r="N9" s="5">
        <v>54</v>
      </c>
      <c r="O9" s="5">
        <v>30</v>
      </c>
      <c r="P9" s="5">
        <v>58</v>
      </c>
      <c r="Q9" s="5">
        <v>31</v>
      </c>
      <c r="R9" t="s">
        <v>113</v>
      </c>
      <c r="S9" s="12"/>
      <c r="T9" s="12"/>
      <c r="U9" s="12"/>
      <c r="V9" s="12"/>
    </row>
    <row r="10" spans="1:35" ht="15.75" thickBot="1" x14ac:dyDescent="0.25">
      <c r="A10" s="3" t="s">
        <v>8</v>
      </c>
      <c r="B10" s="5">
        <v>3</v>
      </c>
      <c r="C10" s="5">
        <v>1</v>
      </c>
      <c r="D10" s="6"/>
      <c r="E10" s="5">
        <v>1</v>
      </c>
      <c r="F10" s="5">
        <v>5</v>
      </c>
      <c r="H10" s="12"/>
      <c r="I10" s="12"/>
      <c r="J10" s="12"/>
      <c r="K10" s="12"/>
      <c r="M10" s="3" t="s">
        <v>98</v>
      </c>
      <c r="N10" s="5">
        <v>5</v>
      </c>
      <c r="O10" s="5">
        <v>1</v>
      </c>
      <c r="P10" s="5">
        <v>6</v>
      </c>
      <c r="Q10" s="5">
        <v>9</v>
      </c>
      <c r="R10" t="s">
        <v>75</v>
      </c>
      <c r="S10" s="12"/>
      <c r="U10" s="12"/>
      <c r="V10" s="12"/>
      <c r="X10" s="47" t="s">
        <v>115</v>
      </c>
      <c r="Y10" s="49">
        <v>2022</v>
      </c>
      <c r="Z10" s="49">
        <v>2023</v>
      </c>
      <c r="AA10" s="49">
        <v>2024</v>
      </c>
    </row>
    <row r="11" spans="1:35" ht="15" thickBot="1" x14ac:dyDescent="0.25">
      <c r="A11" s="3" t="s">
        <v>9</v>
      </c>
      <c r="B11" s="6"/>
      <c r="C11" s="5">
        <v>2</v>
      </c>
      <c r="D11" s="5">
        <v>1</v>
      </c>
      <c r="E11" s="6"/>
      <c r="F11" s="5">
        <v>3</v>
      </c>
      <c r="H11" s="12"/>
      <c r="I11" s="12"/>
      <c r="J11" s="12"/>
      <c r="K11" s="12"/>
      <c r="M11" s="3" t="s">
        <v>99</v>
      </c>
      <c r="N11" s="5">
        <v>2</v>
      </c>
      <c r="O11" s="5">
        <v>1</v>
      </c>
      <c r="P11" s="5">
        <v>2</v>
      </c>
      <c r="Q11" s="6"/>
      <c r="R11" t="s">
        <v>75</v>
      </c>
      <c r="S11" s="12"/>
      <c r="T11" s="12"/>
      <c r="U11" s="12"/>
      <c r="V11" s="12"/>
      <c r="X11" s="48" t="s">
        <v>75</v>
      </c>
      <c r="Y11" s="12">
        <f>Y3/Y$8</f>
        <v>1.1706421674673858E-3</v>
      </c>
      <c r="Z11" s="12">
        <f t="shared" ref="Z11:AA11" si="7">Z3/Z$8</f>
        <v>9.7009938129217241E-4</v>
      </c>
      <c r="AA11" s="12">
        <f t="shared" si="7"/>
        <v>6.6010181844487249E-4</v>
      </c>
    </row>
    <row r="12" spans="1:35" ht="15.75" thickBot="1" x14ac:dyDescent="0.25">
      <c r="A12" s="1" t="s">
        <v>0</v>
      </c>
      <c r="B12" s="2">
        <v>106779</v>
      </c>
      <c r="C12" s="2">
        <v>92774</v>
      </c>
      <c r="D12" s="2">
        <v>110589</v>
      </c>
      <c r="E12" s="2">
        <v>58779</v>
      </c>
      <c r="F12" s="2">
        <v>368921</v>
      </c>
      <c r="M12" s="3" t="s">
        <v>79</v>
      </c>
      <c r="N12" s="5">
        <v>3</v>
      </c>
      <c r="O12" s="5">
        <v>1</v>
      </c>
      <c r="P12" s="6"/>
      <c r="Q12" s="6"/>
      <c r="R12" t="s">
        <v>75</v>
      </c>
      <c r="S12" s="12"/>
      <c r="T12" s="12"/>
      <c r="U12" s="12"/>
      <c r="V12" s="12"/>
      <c r="X12" s="48" t="s">
        <v>95</v>
      </c>
      <c r="Y12" s="12">
        <f t="shared" ref="Y12:AA15" si="8">Y4/Y$8</f>
        <v>5.9468622107343204E-3</v>
      </c>
      <c r="Z12" s="12">
        <f t="shared" si="8"/>
        <v>6.3056459783991207E-3</v>
      </c>
      <c r="AA12" s="12">
        <f t="shared" si="8"/>
        <v>1.0905243740335838E-2</v>
      </c>
    </row>
    <row r="13" spans="1:35" ht="15.75" thickBot="1" x14ac:dyDescent="0.25">
      <c r="A13" s="28"/>
      <c r="B13" s="29"/>
      <c r="C13" s="29"/>
      <c r="D13" s="29"/>
      <c r="E13" s="29"/>
      <c r="F13" s="29"/>
      <c r="M13" s="3" t="s">
        <v>81</v>
      </c>
      <c r="N13" s="5">
        <v>1</v>
      </c>
      <c r="O13" s="6"/>
      <c r="P13" s="6"/>
      <c r="Q13" s="5">
        <v>1</v>
      </c>
      <c r="R13" t="s">
        <v>75</v>
      </c>
      <c r="S13" s="12"/>
      <c r="T13" s="12"/>
      <c r="U13" s="12"/>
      <c r="V13" s="12"/>
      <c r="X13" s="48" t="s">
        <v>113</v>
      </c>
      <c r="Y13" s="12">
        <f t="shared" si="8"/>
        <v>0.94231075398720721</v>
      </c>
      <c r="Z13" s="12">
        <f t="shared" si="8"/>
        <v>0.9474529501800073</v>
      </c>
      <c r="AA13" s="12">
        <f t="shared" si="8"/>
        <v>0.93149409073235134</v>
      </c>
    </row>
    <row r="14" spans="1:35" ht="15.75" thickBot="1" x14ac:dyDescent="0.25">
      <c r="A14" s="28"/>
      <c r="B14" s="29"/>
      <c r="C14" s="29"/>
      <c r="D14" s="29"/>
      <c r="E14" s="29"/>
      <c r="F14" s="29"/>
      <c r="M14" s="3" t="s">
        <v>100</v>
      </c>
      <c r="N14" s="6"/>
      <c r="O14" s="6"/>
      <c r="P14" s="5">
        <v>1</v>
      </c>
      <c r="Q14" s="6"/>
      <c r="R14" t="s">
        <v>75</v>
      </c>
      <c r="S14" s="12"/>
      <c r="T14" s="12"/>
      <c r="U14" s="12"/>
      <c r="V14" s="12"/>
      <c r="X14" s="48" t="s">
        <v>114</v>
      </c>
      <c r="Y14" s="12">
        <f t="shared" si="8"/>
        <v>3.323687241873402E-2</v>
      </c>
      <c r="Z14" s="12">
        <f t="shared" si="8"/>
        <v>2.44572832905771E-2</v>
      </c>
      <c r="AA14" s="12">
        <f t="shared" si="8"/>
        <v>3.0418938592445904E-2</v>
      </c>
    </row>
    <row r="15" spans="1:35" ht="15.75" thickBot="1" x14ac:dyDescent="0.25">
      <c r="A15" s="28"/>
      <c r="B15" s="29"/>
      <c r="C15" s="29"/>
      <c r="D15" s="29"/>
      <c r="E15" s="29"/>
      <c r="F15" s="29"/>
      <c r="M15" s="3" t="s">
        <v>92</v>
      </c>
      <c r="N15" s="6"/>
      <c r="O15" s="6"/>
      <c r="P15" s="6"/>
      <c r="Q15" s="5">
        <v>1</v>
      </c>
      <c r="R15" t="s">
        <v>75</v>
      </c>
      <c r="S15" s="12"/>
      <c r="T15" s="12"/>
      <c r="U15" s="12"/>
      <c r="V15" s="12"/>
      <c r="X15" s="48" t="s">
        <v>94</v>
      </c>
      <c r="Y15" s="12">
        <f t="shared" si="8"/>
        <v>1.733486921585705E-2</v>
      </c>
      <c r="Z15" s="12">
        <f t="shared" si="8"/>
        <v>2.0814021169724275E-2</v>
      </c>
      <c r="AA15" s="12">
        <f t="shared" si="8"/>
        <v>2.6521625116422066E-2</v>
      </c>
    </row>
    <row r="16" spans="1:35" ht="15.75" thickBot="1" x14ac:dyDescent="0.25">
      <c r="A16" s="28"/>
      <c r="B16" s="29"/>
      <c r="C16" s="29"/>
      <c r="D16" s="29"/>
      <c r="E16" s="29"/>
      <c r="F16" s="29"/>
      <c r="M16" s="3" t="s">
        <v>82</v>
      </c>
      <c r="N16" s="6"/>
      <c r="O16" s="6"/>
      <c r="P16" s="6"/>
      <c r="Q16" s="5">
        <v>1</v>
      </c>
      <c r="R16" t="s">
        <v>75</v>
      </c>
      <c r="S16" s="12"/>
      <c r="T16" s="12"/>
      <c r="U16" s="12"/>
      <c r="V16" s="12"/>
      <c r="X16" s="48" t="s">
        <v>10</v>
      </c>
    </row>
    <row r="17" spans="1:30" ht="15.75" thickBot="1" x14ac:dyDescent="0.25">
      <c r="A17" s="28"/>
      <c r="B17" s="29"/>
      <c r="C17" s="29"/>
      <c r="D17" s="29"/>
      <c r="E17" s="29"/>
      <c r="F17" s="29"/>
      <c r="M17" s="1" t="s">
        <v>0</v>
      </c>
      <c r="N17" s="2">
        <v>106779</v>
      </c>
      <c r="O17" s="2">
        <v>92774</v>
      </c>
      <c r="P17" s="2">
        <v>110589</v>
      </c>
      <c r="Q17" s="2">
        <v>58779</v>
      </c>
      <c r="S17" s="11"/>
      <c r="T17" s="11"/>
      <c r="U17" s="11"/>
      <c r="V17" s="11"/>
    </row>
    <row r="18" spans="1:30" ht="15" x14ac:dyDescent="0.2">
      <c r="A18" s="28"/>
      <c r="B18" s="29"/>
      <c r="C18" s="29"/>
      <c r="D18" s="29"/>
      <c r="E18" s="29"/>
      <c r="F18" s="29"/>
      <c r="M18" s="53" t="s">
        <v>121</v>
      </c>
      <c r="N18" s="50">
        <f>N17-(N15+N14+N13+N10+N7+N6+N5)</f>
        <v>104173</v>
      </c>
      <c r="O18" s="50">
        <f t="shared" ref="O18:Q18" si="9">O17-(O15+O14+O13+O10+O7+O6+O5)</f>
        <v>90170</v>
      </c>
      <c r="P18" s="50">
        <f t="shared" si="9"/>
        <v>106379</v>
      </c>
      <c r="Q18" s="50">
        <f t="shared" si="9"/>
        <v>56348</v>
      </c>
    </row>
    <row r="19" spans="1:30" ht="15" x14ac:dyDescent="0.25">
      <c r="A19" s="28"/>
      <c r="B19" s="29"/>
      <c r="C19" s="29"/>
      <c r="D19" s="29"/>
      <c r="E19" s="29"/>
      <c r="F19" s="29"/>
      <c r="X19" s="51" t="s">
        <v>115</v>
      </c>
      <c r="Y19" s="51">
        <v>2022</v>
      </c>
      <c r="Z19" s="51">
        <v>2023</v>
      </c>
      <c r="AA19" s="51">
        <v>2024</v>
      </c>
    </row>
    <row r="20" spans="1:30" ht="15" x14ac:dyDescent="0.2">
      <c r="A20" s="28"/>
      <c r="B20" s="29"/>
      <c r="C20" s="29"/>
      <c r="D20" s="29"/>
      <c r="E20" s="29"/>
      <c r="F20" s="29"/>
      <c r="X20" t="s">
        <v>75</v>
      </c>
      <c r="Y20" s="12">
        <v>1.1706421674673858E-3</v>
      </c>
      <c r="Z20" s="12">
        <v>9.7009938129217241E-4</v>
      </c>
      <c r="AA20" s="12">
        <v>6.6010181844487249E-4</v>
      </c>
    </row>
    <row r="21" spans="1:30" x14ac:dyDescent="0.2">
      <c r="X21" t="s">
        <v>95</v>
      </c>
      <c r="Y21" s="12">
        <v>5.9468622107343204E-3</v>
      </c>
      <c r="Z21" s="12">
        <v>6.3056459783991207E-3</v>
      </c>
      <c r="AA21" s="12">
        <v>1.0905243740335838E-2</v>
      </c>
    </row>
    <row r="22" spans="1:30" x14ac:dyDescent="0.2">
      <c r="X22" t="s">
        <v>113</v>
      </c>
      <c r="Y22" s="12">
        <v>0.94231075398720721</v>
      </c>
      <c r="Z22" s="12">
        <v>0.9474529501800073</v>
      </c>
      <c r="AA22" s="12">
        <v>0.93149409073235134</v>
      </c>
    </row>
    <row r="23" spans="1:30" x14ac:dyDescent="0.2">
      <c r="X23" t="s">
        <v>114</v>
      </c>
      <c r="Y23" s="12">
        <v>3.323687241873402E-2</v>
      </c>
      <c r="Z23" s="12">
        <v>2.44572832905771E-2</v>
      </c>
      <c r="AA23" s="12">
        <v>3.0418938592445904E-2</v>
      </c>
    </row>
    <row r="24" spans="1:30" ht="18.75" thickBot="1" x14ac:dyDescent="0.3">
      <c r="A24" s="40" t="s">
        <v>74</v>
      </c>
      <c r="B24" s="41"/>
      <c r="C24" s="41"/>
      <c r="D24" s="41"/>
      <c r="E24" s="41"/>
      <c r="F24" s="41"/>
      <c r="M24" s="13" t="s">
        <v>78</v>
      </c>
      <c r="N24" s="7">
        <v>2022</v>
      </c>
      <c r="O24" s="7">
        <v>2023</v>
      </c>
      <c r="P24" s="7">
        <v>2024</v>
      </c>
      <c r="Q24" s="7">
        <v>2025</v>
      </c>
      <c r="R24" s="8" t="s">
        <v>10</v>
      </c>
      <c r="T24" s="7">
        <v>2022</v>
      </c>
      <c r="U24" s="7">
        <v>2023</v>
      </c>
      <c r="V24" s="7">
        <v>2024</v>
      </c>
      <c r="X24" t="s">
        <v>94</v>
      </c>
      <c r="Y24" s="12">
        <v>1.733486921585705E-2</v>
      </c>
      <c r="Z24" s="12">
        <v>2.0814021169724275E-2</v>
      </c>
      <c r="AA24" s="12">
        <v>2.6521625116422066E-2</v>
      </c>
    </row>
    <row r="25" spans="1:30" ht="15.75" thickBot="1" x14ac:dyDescent="0.25">
      <c r="A25" s="13" t="s">
        <v>67</v>
      </c>
      <c r="B25" s="7">
        <v>2022</v>
      </c>
      <c r="C25" s="7">
        <v>2023</v>
      </c>
      <c r="D25" s="7">
        <v>2024</v>
      </c>
      <c r="E25" s="7">
        <v>2025</v>
      </c>
      <c r="F25" s="8" t="s">
        <v>10</v>
      </c>
      <c r="M25" s="3" t="s">
        <v>79</v>
      </c>
      <c r="N25" s="4">
        <v>5896</v>
      </c>
      <c r="O25" s="4">
        <v>6318</v>
      </c>
      <c r="P25" s="4">
        <v>3783</v>
      </c>
      <c r="Q25" s="5">
        <v>618</v>
      </c>
      <c r="R25" s="4">
        <v>16615</v>
      </c>
      <c r="S25" s="3" t="s">
        <v>79</v>
      </c>
      <c r="T25" s="12">
        <f>N25/N$40</f>
        <v>0.54892468112838655</v>
      </c>
      <c r="U25" s="12">
        <f t="shared" ref="U25:V27" si="10">O25/O$40</f>
        <v>0.51137191420477535</v>
      </c>
      <c r="V25" s="12">
        <v>0.55000000000000004</v>
      </c>
    </row>
    <row r="26" spans="1:30" ht="15.75" thickBot="1" x14ac:dyDescent="0.25">
      <c r="A26" s="3" t="s">
        <v>1</v>
      </c>
      <c r="B26" s="4">
        <v>10628</v>
      </c>
      <c r="C26" s="4">
        <v>12218</v>
      </c>
      <c r="D26" s="4">
        <v>11422</v>
      </c>
      <c r="E26" s="4">
        <v>5941</v>
      </c>
      <c r="F26" s="4">
        <v>40209</v>
      </c>
      <c r="M26" s="3" t="s">
        <v>80</v>
      </c>
      <c r="N26" s="4">
        <v>2934</v>
      </c>
      <c r="O26" s="4">
        <v>3720</v>
      </c>
      <c r="P26" s="4">
        <v>2914</v>
      </c>
      <c r="Q26" s="4">
        <v>1515</v>
      </c>
      <c r="R26" s="4">
        <v>11083</v>
      </c>
      <c r="S26" s="3" t="s">
        <v>80</v>
      </c>
      <c r="T26" s="12">
        <f t="shared" ref="T26:T27" si="11">N26/N$40</f>
        <v>0.27315892375011636</v>
      </c>
      <c r="U26" s="12">
        <f t="shared" si="10"/>
        <v>0.30109267503035209</v>
      </c>
      <c r="V26" s="12">
        <f t="shared" si="10"/>
        <v>0.25096890879338557</v>
      </c>
      <c r="X26" t="s">
        <v>116</v>
      </c>
      <c r="Y26" t="s">
        <v>107</v>
      </c>
      <c r="Z26" t="s">
        <v>108</v>
      </c>
      <c r="AA26" t="s">
        <v>109</v>
      </c>
      <c r="AB26" s="49"/>
      <c r="AC26" s="49"/>
      <c r="AD26" s="49"/>
    </row>
    <row r="27" spans="1:30" ht="15" thickBot="1" x14ac:dyDescent="0.25">
      <c r="A27" s="3" t="s">
        <v>6</v>
      </c>
      <c r="B27" s="5">
        <v>113</v>
      </c>
      <c r="C27" s="5">
        <v>137</v>
      </c>
      <c r="D27" s="5">
        <v>116</v>
      </c>
      <c r="E27" s="5">
        <v>67</v>
      </c>
      <c r="F27" s="5">
        <v>433</v>
      </c>
      <c r="M27" s="3" t="s">
        <v>81</v>
      </c>
      <c r="N27" s="4">
        <v>1793</v>
      </c>
      <c r="O27" s="4">
        <v>2167</v>
      </c>
      <c r="P27" s="4">
        <v>2117</v>
      </c>
      <c r="Q27" s="4">
        <v>1077</v>
      </c>
      <c r="R27" s="4">
        <v>7154</v>
      </c>
      <c r="S27" s="3" t="s">
        <v>81</v>
      </c>
      <c r="T27" s="12">
        <f t="shared" si="11"/>
        <v>0.1669304534028489</v>
      </c>
      <c r="U27" s="12">
        <f t="shared" si="10"/>
        <v>0.17539457709429382</v>
      </c>
      <c r="V27" s="12">
        <f t="shared" si="10"/>
        <v>0.18232710360864698</v>
      </c>
      <c r="X27" t="s">
        <v>75</v>
      </c>
      <c r="Y27" s="12">
        <v>1.1706421674673858E-3</v>
      </c>
      <c r="Z27" s="12">
        <v>9.7009938129217241E-4</v>
      </c>
      <c r="AA27" s="12">
        <v>6.6010181844487249E-4</v>
      </c>
    </row>
    <row r="28" spans="1:30" ht="15" thickBot="1" x14ac:dyDescent="0.25">
      <c r="A28" s="3" t="s">
        <v>69</v>
      </c>
      <c r="B28" s="6"/>
      <c r="C28" s="6"/>
      <c r="D28" s="5">
        <v>38</v>
      </c>
      <c r="E28" s="5">
        <v>54</v>
      </c>
      <c r="F28" s="5">
        <v>92</v>
      </c>
      <c r="M28" s="3" t="s">
        <v>82</v>
      </c>
      <c r="N28" s="6"/>
      <c r="O28" s="5">
        <v>9</v>
      </c>
      <c r="P28" s="4">
        <v>2602</v>
      </c>
      <c r="Q28" s="4">
        <v>2745</v>
      </c>
      <c r="R28" s="4">
        <v>5356</v>
      </c>
      <c r="S28" s="3" t="s">
        <v>75</v>
      </c>
      <c r="T28" s="12">
        <v>1.098594171864817E-2</v>
      </c>
      <c r="U28" s="12">
        <v>1.141238365034399E-2</v>
      </c>
      <c r="V28" s="12">
        <v>1.6794419085350096E-2</v>
      </c>
      <c r="X28" t="s">
        <v>95</v>
      </c>
      <c r="Y28" s="12">
        <v>5.9468622107343204E-3</v>
      </c>
      <c r="Z28" s="12">
        <v>6.3056459783991207E-3</v>
      </c>
      <c r="AA28" s="12">
        <v>1.0905243740335838E-2</v>
      </c>
    </row>
    <row r="29" spans="1:30" ht="15" thickBot="1" x14ac:dyDescent="0.25">
      <c r="A29" s="3" t="s">
        <v>70</v>
      </c>
      <c r="B29" s="6"/>
      <c r="C29" s="6"/>
      <c r="D29" s="5">
        <v>26</v>
      </c>
      <c r="E29" s="5">
        <v>27</v>
      </c>
      <c r="F29" s="5">
        <v>53</v>
      </c>
      <c r="M29" s="3" t="s">
        <v>83</v>
      </c>
      <c r="N29" s="5">
        <v>113</v>
      </c>
      <c r="O29" s="5">
        <v>137</v>
      </c>
      <c r="P29" s="5">
        <v>89</v>
      </c>
      <c r="Q29" s="5">
        <v>32</v>
      </c>
      <c r="R29" s="5">
        <v>371</v>
      </c>
      <c r="X29" t="s">
        <v>113</v>
      </c>
      <c r="Y29" s="12">
        <v>0.94231075398720721</v>
      </c>
      <c r="Z29" s="12">
        <v>0.9474529501800073</v>
      </c>
      <c r="AA29" s="12">
        <v>0.93149409073235134</v>
      </c>
      <c r="AB29" s="50"/>
      <c r="AC29" s="50"/>
      <c r="AD29" s="50"/>
    </row>
    <row r="30" spans="1:30" ht="15.75" thickBot="1" x14ac:dyDescent="0.25">
      <c r="A30" s="3" t="s">
        <v>71</v>
      </c>
      <c r="B30" s="6"/>
      <c r="C30" s="6"/>
      <c r="D30" s="5">
        <v>6</v>
      </c>
      <c r="E30" s="5">
        <v>4</v>
      </c>
      <c r="F30" s="5">
        <v>10</v>
      </c>
      <c r="M30" s="3" t="s">
        <v>84</v>
      </c>
      <c r="N30" s="6"/>
      <c r="O30" s="6"/>
      <c r="P30" s="5">
        <v>54</v>
      </c>
      <c r="Q30" s="5">
        <v>60</v>
      </c>
      <c r="R30" s="5">
        <v>114</v>
      </c>
      <c r="T30" s="30" t="s">
        <v>78</v>
      </c>
      <c r="U30" s="33" t="s">
        <v>107</v>
      </c>
      <c r="V30" s="33" t="s">
        <v>108</v>
      </c>
      <c r="W30" s="33" t="s">
        <v>109</v>
      </c>
      <c r="X30" t="s">
        <v>114</v>
      </c>
      <c r="Y30" s="12">
        <v>3.323687241873402E-2</v>
      </c>
      <c r="Z30" s="12">
        <v>2.44572832905771E-2</v>
      </c>
      <c r="AA30" s="12">
        <v>3.0418938592445904E-2</v>
      </c>
      <c r="AB30" s="50"/>
      <c r="AC30" s="50"/>
      <c r="AD30" s="50"/>
    </row>
    <row r="31" spans="1:30" ht="15" thickBot="1" x14ac:dyDescent="0.25">
      <c r="A31" s="3" t="s">
        <v>3</v>
      </c>
      <c r="B31" s="6"/>
      <c r="C31" s="6"/>
      <c r="D31" s="5">
        <v>2</v>
      </c>
      <c r="E31" s="6"/>
      <c r="F31" s="5">
        <v>2</v>
      </c>
      <c r="M31" s="3" t="s">
        <v>6</v>
      </c>
      <c r="N31" s="6"/>
      <c r="O31" s="6"/>
      <c r="P31" s="5">
        <v>26</v>
      </c>
      <c r="Q31" s="5">
        <v>35</v>
      </c>
      <c r="R31" s="5">
        <v>61</v>
      </c>
      <c r="T31" s="31" t="s">
        <v>79</v>
      </c>
      <c r="U31" s="34">
        <v>5896</v>
      </c>
      <c r="V31" s="34">
        <f>O25+O28</f>
        <v>6327</v>
      </c>
      <c r="W31" s="34">
        <f>P25+P28</f>
        <v>6385</v>
      </c>
      <c r="X31" t="s">
        <v>94</v>
      </c>
      <c r="Y31" s="12">
        <v>1.733486921585705E-2</v>
      </c>
      <c r="Z31" s="12">
        <v>2.0814021169724275E-2</v>
      </c>
      <c r="AA31" s="12">
        <v>2.6521625116422066E-2</v>
      </c>
      <c r="AB31" s="50"/>
      <c r="AC31" s="50"/>
      <c r="AD31" s="50"/>
    </row>
    <row r="32" spans="1:30" ht="15" thickBot="1" x14ac:dyDescent="0.25">
      <c r="A32" s="3" t="s">
        <v>72</v>
      </c>
      <c r="B32" s="6"/>
      <c r="C32" s="6"/>
      <c r="D32" s="6"/>
      <c r="E32" s="5">
        <v>1</v>
      </c>
      <c r="F32" s="5">
        <v>1</v>
      </c>
      <c r="M32" s="3" t="s">
        <v>85</v>
      </c>
      <c r="N32" s="5">
        <v>2</v>
      </c>
      <c r="O32" s="5">
        <v>3</v>
      </c>
      <c r="P32" s="5">
        <v>10</v>
      </c>
      <c r="Q32" s="5">
        <v>12</v>
      </c>
      <c r="R32" s="5">
        <v>27</v>
      </c>
      <c r="T32" s="31" t="s">
        <v>80</v>
      </c>
      <c r="U32" s="34">
        <v>2934</v>
      </c>
      <c r="V32" s="34">
        <v>3720</v>
      </c>
      <c r="W32" s="34">
        <v>2914</v>
      </c>
    </row>
    <row r="33" spans="1:23" ht="15" thickBot="1" x14ac:dyDescent="0.25">
      <c r="A33" s="3" t="s">
        <v>73</v>
      </c>
      <c r="B33" s="6"/>
      <c r="C33" s="6"/>
      <c r="D33" s="5">
        <v>1</v>
      </c>
      <c r="E33" s="6"/>
      <c r="F33" s="5">
        <v>1</v>
      </c>
      <c r="M33" s="3" t="s">
        <v>86</v>
      </c>
      <c r="N33" s="6"/>
      <c r="O33" s="6"/>
      <c r="P33" s="5">
        <v>7</v>
      </c>
      <c r="Q33" s="6"/>
      <c r="R33" s="5">
        <v>7</v>
      </c>
      <c r="T33" s="31" t="s">
        <v>81</v>
      </c>
      <c r="U33" s="34">
        <v>1793</v>
      </c>
      <c r="V33" s="34">
        <v>2167</v>
      </c>
      <c r="W33" s="34">
        <v>2117</v>
      </c>
    </row>
    <row r="34" spans="1:23" ht="15.75" thickBot="1" x14ac:dyDescent="0.25">
      <c r="A34" s="1" t="s">
        <v>68</v>
      </c>
      <c r="B34" s="2">
        <v>10741</v>
      </c>
      <c r="C34" s="2">
        <v>12355</v>
      </c>
      <c r="D34" s="2">
        <v>11611</v>
      </c>
      <c r="E34" s="2">
        <v>6094</v>
      </c>
      <c r="F34" s="2">
        <v>40801</v>
      </c>
      <c r="M34" s="3" t="s">
        <v>87</v>
      </c>
      <c r="N34" s="5">
        <v>2</v>
      </c>
      <c r="O34" s="6"/>
      <c r="P34" s="5">
        <v>3</v>
      </c>
      <c r="Q34" s="6"/>
      <c r="R34" s="5">
        <v>5</v>
      </c>
      <c r="T34" s="32" t="s">
        <v>75</v>
      </c>
      <c r="U34" s="35">
        <f>SUM(N29:N39)</f>
        <v>118</v>
      </c>
      <c r="V34" s="35">
        <f>SUM(O29:O39)</f>
        <v>141</v>
      </c>
      <c r="W34" s="35">
        <f>SUM(P29:P39)</f>
        <v>195</v>
      </c>
    </row>
    <row r="35" spans="1:23" ht="15" thickBot="1" x14ac:dyDescent="0.25">
      <c r="M35" s="3" t="s">
        <v>88</v>
      </c>
      <c r="N35" s="6"/>
      <c r="O35" s="6"/>
      <c r="P35" s="5">
        <v>2</v>
      </c>
      <c r="Q35" s="6"/>
      <c r="R35" s="5">
        <v>2</v>
      </c>
      <c r="T35" s="12"/>
      <c r="U35" s="12"/>
      <c r="V35" s="12"/>
    </row>
    <row r="36" spans="1:23" ht="15.75" thickBot="1" x14ac:dyDescent="0.25">
      <c r="B36" s="1" t="s">
        <v>106</v>
      </c>
      <c r="C36" t="s">
        <v>79</v>
      </c>
      <c r="M36" s="3" t="s">
        <v>89</v>
      </c>
      <c r="N36" s="5">
        <v>1</v>
      </c>
      <c r="O36" s="5">
        <v>1</v>
      </c>
      <c r="P36" s="6"/>
      <c r="Q36" s="6"/>
      <c r="R36" s="5">
        <v>2</v>
      </c>
    </row>
    <row r="37" spans="1:23" ht="15.75" thickBot="1" x14ac:dyDescent="0.25">
      <c r="A37" s="7">
        <v>2022</v>
      </c>
      <c r="B37" s="2">
        <v>10741</v>
      </c>
      <c r="C37" s="12">
        <v>0.55000000000000004</v>
      </c>
      <c r="M37" s="3" t="s">
        <v>90</v>
      </c>
      <c r="N37" s="6"/>
      <c r="O37" s="6"/>
      <c r="P37" s="5">
        <v>2</v>
      </c>
      <c r="Q37" s="6"/>
      <c r="R37" s="5">
        <v>2</v>
      </c>
    </row>
    <row r="38" spans="1:23" ht="15.75" thickBot="1" x14ac:dyDescent="0.25">
      <c r="A38" s="7">
        <v>2023</v>
      </c>
      <c r="B38" s="2">
        <v>12355</v>
      </c>
      <c r="C38" s="12">
        <v>0.51</v>
      </c>
      <c r="M38" s="3" t="s">
        <v>91</v>
      </c>
      <c r="N38" s="6"/>
      <c r="O38" s="6"/>
      <c r="P38" s="5">
        <v>1</v>
      </c>
      <c r="Q38" s="6"/>
      <c r="R38" s="5">
        <v>1</v>
      </c>
    </row>
    <row r="39" spans="1:23" ht="15.75" thickBot="1" x14ac:dyDescent="0.25">
      <c r="A39" s="7">
        <v>2024</v>
      </c>
      <c r="B39" s="2">
        <v>11611</v>
      </c>
      <c r="C39" s="12">
        <v>0.55000000000000004</v>
      </c>
      <c r="M39" s="3" t="s">
        <v>92</v>
      </c>
      <c r="N39" s="6"/>
      <c r="O39" s="6"/>
      <c r="P39" s="5">
        <v>1</v>
      </c>
      <c r="Q39" s="6"/>
      <c r="R39" s="5">
        <v>1</v>
      </c>
    </row>
    <row r="40" spans="1:23" ht="15.75" thickBot="1" x14ac:dyDescent="0.25">
      <c r="M40" s="1" t="s">
        <v>68</v>
      </c>
      <c r="N40" s="2">
        <v>10741</v>
      </c>
      <c r="O40" s="2">
        <v>12355</v>
      </c>
      <c r="P40" s="2">
        <v>11611</v>
      </c>
      <c r="Q40" s="2">
        <v>6094</v>
      </c>
      <c r="R40" s="2">
        <v>40801</v>
      </c>
      <c r="T40" s="11"/>
      <c r="U40" s="11"/>
      <c r="V40" s="11"/>
    </row>
    <row r="44" spans="1:23" ht="20.25" x14ac:dyDescent="0.3">
      <c r="A44" s="45" t="s">
        <v>31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</row>
    <row r="45" spans="1:23" ht="15" x14ac:dyDescent="0.2">
      <c r="A45" s="9" t="s">
        <v>11</v>
      </c>
      <c r="B45" s="9" t="s">
        <v>12</v>
      </c>
      <c r="C45" s="9" t="s">
        <v>13</v>
      </c>
      <c r="D45" s="9" t="s">
        <v>14</v>
      </c>
      <c r="E45" s="9" t="s">
        <v>15</v>
      </c>
      <c r="F45" s="9" t="s">
        <v>16</v>
      </c>
      <c r="G45" s="9" t="s">
        <v>17</v>
      </c>
      <c r="H45" s="9" t="s">
        <v>18</v>
      </c>
      <c r="I45" s="9" t="s">
        <v>19</v>
      </c>
      <c r="J45" s="9" t="s">
        <v>20</v>
      </c>
      <c r="K45" s="9" t="s">
        <v>21</v>
      </c>
      <c r="L45" s="10" t="s">
        <v>22</v>
      </c>
      <c r="M45" s="10" t="s">
        <v>23</v>
      </c>
    </row>
    <row r="46" spans="1:23" x14ac:dyDescent="0.2">
      <c r="A46" t="s">
        <v>24</v>
      </c>
      <c r="B46">
        <v>108199</v>
      </c>
      <c r="C46">
        <v>106777</v>
      </c>
      <c r="D46" t="s">
        <v>25</v>
      </c>
      <c r="E46">
        <v>119786</v>
      </c>
      <c r="F46">
        <v>92768</v>
      </c>
      <c r="G46" t="s">
        <v>26</v>
      </c>
      <c r="H46">
        <v>93915</v>
      </c>
      <c r="I46">
        <v>110590</v>
      </c>
      <c r="J46" t="s">
        <v>27</v>
      </c>
      <c r="K46">
        <v>62293</v>
      </c>
      <c r="L46">
        <v>58778</v>
      </c>
      <c r="M46" s="11">
        <v>0.94</v>
      </c>
    </row>
    <row r="47" spans="1:23" x14ac:dyDescent="0.2">
      <c r="A47" t="s">
        <v>28</v>
      </c>
      <c r="B47">
        <v>10827</v>
      </c>
      <c r="C47">
        <v>10746</v>
      </c>
      <c r="D47" t="s">
        <v>25</v>
      </c>
      <c r="E47">
        <v>12224</v>
      </c>
      <c r="F47">
        <v>12357</v>
      </c>
      <c r="G47" t="s">
        <v>29</v>
      </c>
      <c r="H47">
        <v>11909</v>
      </c>
      <c r="I47">
        <v>11609</v>
      </c>
      <c r="J47" t="s">
        <v>30</v>
      </c>
      <c r="K47">
        <v>5793</v>
      </c>
      <c r="L47">
        <v>6096</v>
      </c>
      <c r="M47" s="11">
        <v>1.05</v>
      </c>
    </row>
    <row r="50" spans="1:13" ht="20.25" x14ac:dyDescent="0.3">
      <c r="A50" s="42" t="s">
        <v>40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3" ht="15" x14ac:dyDescent="0.2">
      <c r="A51" s="9" t="s">
        <v>32</v>
      </c>
      <c r="B51" s="9" t="s">
        <v>13</v>
      </c>
      <c r="C51" s="9" t="s">
        <v>33</v>
      </c>
      <c r="D51" s="9" t="s">
        <v>16</v>
      </c>
      <c r="E51" s="9" t="s">
        <v>34</v>
      </c>
      <c r="F51" s="9" t="s">
        <v>19</v>
      </c>
      <c r="G51" s="9" t="s">
        <v>35</v>
      </c>
      <c r="H51" s="9" t="s">
        <v>36</v>
      </c>
      <c r="I51" s="9" t="s">
        <v>37</v>
      </c>
      <c r="J51" s="9" t="s">
        <v>38</v>
      </c>
      <c r="K51" s="9" t="s">
        <v>39</v>
      </c>
    </row>
    <row r="52" spans="1:13" x14ac:dyDescent="0.2">
      <c r="A52" t="s">
        <v>24</v>
      </c>
      <c r="B52">
        <v>106777</v>
      </c>
      <c r="C52">
        <v>4.26</v>
      </c>
      <c r="D52">
        <v>92768</v>
      </c>
      <c r="E52">
        <v>4.87</v>
      </c>
      <c r="F52">
        <v>110590</v>
      </c>
      <c r="G52">
        <v>6.17</v>
      </c>
      <c r="H52">
        <v>58778</v>
      </c>
      <c r="I52">
        <v>5.41</v>
      </c>
      <c r="J52">
        <v>368913</v>
      </c>
      <c r="K52">
        <v>5.17</v>
      </c>
    </row>
    <row r="53" spans="1:13" x14ac:dyDescent="0.2">
      <c r="A53" t="s">
        <v>41</v>
      </c>
      <c r="B53">
        <v>10746</v>
      </c>
      <c r="C53">
        <v>1.26</v>
      </c>
      <c r="D53">
        <v>12357</v>
      </c>
      <c r="E53">
        <v>1.27</v>
      </c>
      <c r="F53">
        <v>11609</v>
      </c>
      <c r="G53">
        <v>1.24</v>
      </c>
      <c r="H53">
        <v>6096</v>
      </c>
      <c r="I53">
        <v>1.1000000000000001</v>
      </c>
      <c r="J53">
        <v>40808</v>
      </c>
      <c r="K53">
        <v>1.23</v>
      </c>
    </row>
    <row r="57" spans="1:13" ht="20.25" x14ac:dyDescent="0.3">
      <c r="A57" s="42" t="s">
        <v>42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1:13" ht="15" x14ac:dyDescent="0.2">
      <c r="A58" s="9" t="s">
        <v>32</v>
      </c>
      <c r="B58" s="9" t="s">
        <v>43</v>
      </c>
      <c r="C58" s="9" t="s">
        <v>44</v>
      </c>
      <c r="D58" s="9" t="s">
        <v>45</v>
      </c>
      <c r="E58" s="9" t="s">
        <v>46</v>
      </c>
      <c r="F58" s="9" t="s">
        <v>47</v>
      </c>
      <c r="G58" s="9" t="s">
        <v>48</v>
      </c>
      <c r="H58" s="9" t="s">
        <v>49</v>
      </c>
      <c r="I58" s="9" t="s">
        <v>50</v>
      </c>
      <c r="J58" s="9" t="s">
        <v>51</v>
      </c>
      <c r="K58" s="9" t="s">
        <v>52</v>
      </c>
      <c r="L58" s="9" t="s">
        <v>53</v>
      </c>
      <c r="M58" s="9" t="s">
        <v>54</v>
      </c>
    </row>
    <row r="59" spans="1:13" x14ac:dyDescent="0.2">
      <c r="A59" t="s">
        <v>55</v>
      </c>
      <c r="B59">
        <v>159787</v>
      </c>
      <c r="C59">
        <v>0</v>
      </c>
      <c r="D59" t="s">
        <v>56</v>
      </c>
      <c r="E59">
        <v>135595</v>
      </c>
      <c r="F59">
        <v>0</v>
      </c>
      <c r="G59" t="s">
        <v>56</v>
      </c>
      <c r="H59">
        <v>166470</v>
      </c>
      <c r="I59">
        <v>0</v>
      </c>
      <c r="J59" t="s">
        <v>56</v>
      </c>
      <c r="K59">
        <v>89590</v>
      </c>
      <c r="L59">
        <v>0</v>
      </c>
      <c r="M59" t="s">
        <v>56</v>
      </c>
    </row>
    <row r="60" spans="1:13" x14ac:dyDescent="0.2">
      <c r="A60" t="s">
        <v>57</v>
      </c>
      <c r="B60">
        <v>956</v>
      </c>
      <c r="C60">
        <v>0</v>
      </c>
      <c r="D60" t="s">
        <v>56</v>
      </c>
      <c r="E60">
        <v>735</v>
      </c>
      <c r="F60">
        <v>0</v>
      </c>
      <c r="G60" t="s">
        <v>56</v>
      </c>
      <c r="H60">
        <v>1046</v>
      </c>
      <c r="I60">
        <v>0</v>
      </c>
      <c r="J60" t="s">
        <v>56</v>
      </c>
      <c r="K60">
        <v>863</v>
      </c>
      <c r="L60">
        <v>0</v>
      </c>
      <c r="M60" t="s">
        <v>56</v>
      </c>
    </row>
    <row r="63" spans="1:13" ht="20.25" x14ac:dyDescent="0.3">
      <c r="A63" s="42" t="s">
        <v>58</v>
      </c>
      <c r="B63" s="42"/>
      <c r="C63" s="42"/>
      <c r="D63" s="42"/>
      <c r="E63" s="42"/>
      <c r="F63" s="42"/>
      <c r="G63" s="42"/>
      <c r="H63" s="42"/>
      <c r="I63" s="39"/>
      <c r="J63" s="39"/>
      <c r="K63" s="39"/>
      <c r="L63" s="39"/>
      <c r="M63" s="39"/>
    </row>
    <row r="64" spans="1:13" s="38" customFormat="1" ht="45" x14ac:dyDescent="0.2">
      <c r="A64" s="54" t="s">
        <v>32</v>
      </c>
      <c r="B64" s="54" t="s">
        <v>122</v>
      </c>
      <c r="C64" s="54" t="s">
        <v>110</v>
      </c>
      <c r="D64" s="54" t="s">
        <v>123</v>
      </c>
      <c r="E64" s="54" t="s">
        <v>110</v>
      </c>
      <c r="F64" s="54" t="s">
        <v>124</v>
      </c>
      <c r="G64" s="54" t="s">
        <v>110</v>
      </c>
      <c r="H64" s="54" t="s">
        <v>52</v>
      </c>
      <c r="I64" s="37"/>
      <c r="J64" s="37"/>
    </row>
    <row r="65" spans="1:22" x14ac:dyDescent="0.2">
      <c r="A65" t="s">
        <v>55</v>
      </c>
      <c r="B65">
        <v>6531</v>
      </c>
      <c r="C65" s="36">
        <f>B65/$B$52</f>
        <v>6.1164857600419564E-2</v>
      </c>
      <c r="D65">
        <v>5119</v>
      </c>
      <c r="E65" s="36">
        <f>D65/D52</f>
        <v>5.5180665746809243E-2</v>
      </c>
      <c r="F65">
        <v>5737</v>
      </c>
      <c r="G65" s="36">
        <f>F65/F52</f>
        <v>5.1876299846279048E-2</v>
      </c>
      <c r="H65">
        <v>2844</v>
      </c>
    </row>
    <row r="66" spans="1:22" x14ac:dyDescent="0.2">
      <c r="A66" t="s">
        <v>57</v>
      </c>
      <c r="B66">
        <v>2</v>
      </c>
      <c r="C66" s="36">
        <f>B66/$B$53</f>
        <v>1.8611576400521124E-4</v>
      </c>
      <c r="D66">
        <v>3</v>
      </c>
      <c r="E66" s="36">
        <f>D66/D53</f>
        <v>2.4277737314882253E-4</v>
      </c>
      <c r="F66">
        <v>1</v>
      </c>
      <c r="G66" s="36">
        <f>F66/H47</f>
        <v>8.3970106642035437E-5</v>
      </c>
      <c r="H66">
        <v>1</v>
      </c>
    </row>
    <row r="67" spans="1:22" ht="20.25" x14ac:dyDescent="0.3">
      <c r="A67" s="42" t="s">
        <v>58</v>
      </c>
      <c r="B67" s="42"/>
      <c r="C67" s="42"/>
      <c r="D67" s="42"/>
      <c r="E67" s="42"/>
      <c r="F67" s="42"/>
      <c r="G67" s="42"/>
      <c r="H67" s="42"/>
      <c r="I67" s="39"/>
      <c r="J67" s="39"/>
      <c r="K67" s="39"/>
      <c r="L67" s="39"/>
      <c r="M67" s="39"/>
    </row>
    <row r="68" spans="1:22" s="38" customFormat="1" ht="66" customHeight="1" x14ac:dyDescent="0.2">
      <c r="A68" s="37" t="s">
        <v>32</v>
      </c>
      <c r="B68" s="37" t="s">
        <v>43</v>
      </c>
      <c r="C68" s="37" t="s">
        <v>120</v>
      </c>
      <c r="D68" s="37" t="s">
        <v>46</v>
      </c>
      <c r="E68" s="37" t="s">
        <v>120</v>
      </c>
      <c r="F68" s="37" t="s">
        <v>49</v>
      </c>
      <c r="G68" s="37" t="s">
        <v>120</v>
      </c>
      <c r="H68" s="37" t="s">
        <v>52</v>
      </c>
      <c r="I68" s="37"/>
      <c r="J68" s="37"/>
    </row>
    <row r="69" spans="1:22" x14ac:dyDescent="0.2">
      <c r="A69" t="s">
        <v>55</v>
      </c>
      <c r="B69">
        <v>6531</v>
      </c>
      <c r="C69" s="12">
        <f>B69/N18</f>
        <v>6.2693788217676363E-2</v>
      </c>
      <c r="D69">
        <v>5119</v>
      </c>
      <c r="E69" s="12">
        <f>D69/O18</f>
        <v>5.677054452700455E-2</v>
      </c>
      <c r="F69">
        <v>5737</v>
      </c>
      <c r="G69" s="12">
        <f>F69/P18</f>
        <v>5.3929816975154872E-2</v>
      </c>
      <c r="H69">
        <v>2844</v>
      </c>
    </row>
    <row r="70" spans="1:22" x14ac:dyDescent="0.2">
      <c r="A70" t="s">
        <v>57</v>
      </c>
      <c r="B70">
        <v>2</v>
      </c>
      <c r="C70" s="12">
        <f>B70/$B$53</f>
        <v>1.8611576400521124E-4</v>
      </c>
      <c r="D70">
        <v>3</v>
      </c>
      <c r="E70" s="12">
        <f>D70/D53</f>
        <v>2.4277737314882253E-4</v>
      </c>
      <c r="F70">
        <v>1</v>
      </c>
      <c r="G70" s="12">
        <f>F70/H53</f>
        <v>1.6404199475065617E-4</v>
      </c>
      <c r="H70">
        <v>1</v>
      </c>
    </row>
    <row r="73" spans="1:22" ht="20.25" x14ac:dyDescent="0.3">
      <c r="A73" s="42" t="s">
        <v>59</v>
      </c>
      <c r="B73" s="42"/>
      <c r="C73" s="42"/>
      <c r="D73" s="42"/>
      <c r="E73" s="42"/>
      <c r="F73" s="42"/>
      <c r="G73" s="42"/>
      <c r="H73" s="42"/>
      <c r="I73" s="39"/>
      <c r="J73" s="39"/>
      <c r="K73" s="39"/>
      <c r="L73" s="39"/>
      <c r="M73" s="39"/>
    </row>
    <row r="74" spans="1:22" ht="45" x14ac:dyDescent="0.2">
      <c r="A74" s="9" t="s">
        <v>32</v>
      </c>
      <c r="B74" s="9" t="s">
        <v>43</v>
      </c>
      <c r="C74" s="37" t="s">
        <v>110</v>
      </c>
      <c r="D74" s="9" t="s">
        <v>46</v>
      </c>
      <c r="E74" s="37" t="s">
        <v>110</v>
      </c>
      <c r="F74" s="9" t="s">
        <v>49</v>
      </c>
      <c r="G74" s="37" t="s">
        <v>110</v>
      </c>
      <c r="H74" s="9" t="s">
        <v>52</v>
      </c>
    </row>
    <row r="75" spans="1:22" x14ac:dyDescent="0.2">
      <c r="A75" t="s">
        <v>55</v>
      </c>
      <c r="B75">
        <v>137555</v>
      </c>
      <c r="C75" s="36">
        <f>B75/$B$52</f>
        <v>1.2882455959616772</v>
      </c>
      <c r="D75">
        <v>114761</v>
      </c>
      <c r="E75" s="36">
        <f>D75/D52</f>
        <v>1.2370752845808899</v>
      </c>
      <c r="F75">
        <v>139519</v>
      </c>
      <c r="G75" s="36">
        <f>F75/F52</f>
        <v>1.2615878470024415</v>
      </c>
      <c r="H75">
        <v>75292</v>
      </c>
    </row>
    <row r="76" spans="1:22" x14ac:dyDescent="0.2">
      <c r="A76" t="s">
        <v>57</v>
      </c>
      <c r="B76">
        <v>133</v>
      </c>
      <c r="C76" s="36">
        <f>B76/$B$53</f>
        <v>1.2376698306346547E-2</v>
      </c>
      <c r="D76">
        <v>44</v>
      </c>
      <c r="E76" s="36">
        <f>D76/D53</f>
        <v>3.5607348061827302E-3</v>
      </c>
      <c r="F76">
        <v>45</v>
      </c>
      <c r="G76" s="36">
        <f>F76/F53</f>
        <v>3.8763028684641225E-3</v>
      </c>
      <c r="H76">
        <v>36</v>
      </c>
    </row>
    <row r="78" spans="1:22" x14ac:dyDescent="0.2">
      <c r="O78" t="s">
        <v>58</v>
      </c>
    </row>
    <row r="79" spans="1:22" ht="20.25" x14ac:dyDescent="0.3">
      <c r="A79" s="42" t="s">
        <v>66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O79" t="s">
        <v>32</v>
      </c>
      <c r="P79" t="s">
        <v>43</v>
      </c>
      <c r="Q79" t="s">
        <v>110</v>
      </c>
      <c r="R79" t="s">
        <v>46</v>
      </c>
      <c r="S79" t="s">
        <v>110</v>
      </c>
      <c r="T79" t="s">
        <v>49</v>
      </c>
      <c r="U79" t="s">
        <v>110</v>
      </c>
      <c r="V79" t="s">
        <v>52</v>
      </c>
    </row>
    <row r="80" spans="1:22" ht="15" x14ac:dyDescent="0.2">
      <c r="A80" s="9" t="s">
        <v>32</v>
      </c>
      <c r="B80" s="9" t="s">
        <v>12</v>
      </c>
      <c r="C80" s="9" t="s">
        <v>13</v>
      </c>
      <c r="D80" s="9" t="s">
        <v>14</v>
      </c>
      <c r="E80" s="9" t="s">
        <v>15</v>
      </c>
      <c r="F80" s="9" t="s">
        <v>16</v>
      </c>
      <c r="G80" s="9" t="s">
        <v>17</v>
      </c>
      <c r="H80" s="9" t="s">
        <v>18</v>
      </c>
      <c r="I80" s="9" t="s">
        <v>19</v>
      </c>
      <c r="J80" s="9" t="s">
        <v>20</v>
      </c>
      <c r="K80" s="9" t="s">
        <v>21</v>
      </c>
      <c r="L80" s="9" t="s">
        <v>36</v>
      </c>
      <c r="M80" s="9" t="s">
        <v>60</v>
      </c>
      <c r="O80" t="s">
        <v>55</v>
      </c>
      <c r="P80">
        <v>6531</v>
      </c>
      <c r="Q80">
        <v>6.1164857600419564E-2</v>
      </c>
      <c r="R80">
        <v>5119</v>
      </c>
      <c r="S80">
        <v>5.5180665746809243E-2</v>
      </c>
      <c r="T80">
        <v>5737</v>
      </c>
      <c r="U80">
        <v>5.1876299846279048E-2</v>
      </c>
      <c r="V80">
        <v>2844</v>
      </c>
    </row>
    <row r="81" spans="1:22" x14ac:dyDescent="0.2">
      <c r="A81" t="s">
        <v>61</v>
      </c>
      <c r="B81">
        <v>1042</v>
      </c>
      <c r="C81">
        <v>1106</v>
      </c>
      <c r="D81" t="s">
        <v>62</v>
      </c>
      <c r="E81">
        <v>1260</v>
      </c>
      <c r="F81">
        <v>1048</v>
      </c>
      <c r="G81" t="s">
        <v>63</v>
      </c>
      <c r="H81">
        <v>1048</v>
      </c>
      <c r="I81">
        <v>1218</v>
      </c>
      <c r="J81" t="s">
        <v>64</v>
      </c>
      <c r="K81">
        <v>534</v>
      </c>
      <c r="L81">
        <v>513</v>
      </c>
      <c r="M81" t="s">
        <v>65</v>
      </c>
      <c r="O81" t="s">
        <v>57</v>
      </c>
      <c r="P81">
        <v>2</v>
      </c>
      <c r="Q81">
        <v>1.8611576400521124E-4</v>
      </c>
      <c r="R81">
        <v>3</v>
      </c>
      <c r="S81">
        <v>2.4277737314882253E-4</v>
      </c>
      <c r="T81">
        <v>1</v>
      </c>
      <c r="U81">
        <v>8.3970106642035437E-5</v>
      </c>
      <c r="V81">
        <v>1</v>
      </c>
    </row>
    <row r="82" spans="1:22" x14ac:dyDescent="0.2">
      <c r="A82" t="s">
        <v>111</v>
      </c>
      <c r="B82" s="12">
        <f>B81/B52</f>
        <v>9.7586558903134564E-3</v>
      </c>
      <c r="E82" s="12">
        <f>E81/E46</f>
        <v>1.0518758452573756E-2</v>
      </c>
      <c r="F82" s="12"/>
      <c r="G82" s="12"/>
      <c r="H82" s="12">
        <f>H81/H59</f>
        <v>6.2954286057547906E-3</v>
      </c>
    </row>
    <row r="84" spans="1:22" ht="15" thickBot="1" x14ac:dyDescent="0.25">
      <c r="A84" s="43" t="s">
        <v>101</v>
      </c>
      <c r="B84" s="43"/>
      <c r="C84" s="43"/>
      <c r="D84" s="43"/>
      <c r="E84" s="43"/>
      <c r="F84" s="43"/>
    </row>
    <row r="85" spans="1:22" ht="15.75" thickBot="1" x14ac:dyDescent="0.25">
      <c r="A85" s="14" t="s">
        <v>76</v>
      </c>
      <c r="B85" s="15" t="s">
        <v>77</v>
      </c>
      <c r="C85" s="16"/>
      <c r="D85" s="16"/>
      <c r="E85" s="16"/>
      <c r="F85" s="16"/>
    </row>
    <row r="88" spans="1:22" x14ac:dyDescent="0.2">
      <c r="A88" t="s">
        <v>66</v>
      </c>
    </row>
    <row r="89" spans="1:22" x14ac:dyDescent="0.2">
      <c r="A89" t="s">
        <v>32</v>
      </c>
      <c r="B89">
        <v>2022</v>
      </c>
      <c r="C89" t="s">
        <v>13</v>
      </c>
      <c r="D89" t="s">
        <v>14</v>
      </c>
      <c r="E89">
        <v>2023</v>
      </c>
      <c r="F89" t="s">
        <v>16</v>
      </c>
      <c r="G89" t="s">
        <v>17</v>
      </c>
      <c r="H89">
        <v>2024</v>
      </c>
      <c r="I89" t="s">
        <v>19</v>
      </c>
      <c r="J89" t="s">
        <v>20</v>
      </c>
      <c r="K89" t="s">
        <v>21</v>
      </c>
      <c r="L89" t="s">
        <v>36</v>
      </c>
      <c r="M89" t="s">
        <v>60</v>
      </c>
    </row>
    <row r="90" spans="1:22" x14ac:dyDescent="0.2">
      <c r="A90" t="s">
        <v>61</v>
      </c>
      <c r="B90">
        <v>1042</v>
      </c>
      <c r="C90">
        <v>1106</v>
      </c>
      <c r="D90" t="s">
        <v>62</v>
      </c>
      <c r="E90">
        <v>1260</v>
      </c>
      <c r="F90">
        <v>1048</v>
      </c>
      <c r="G90" t="s">
        <v>63</v>
      </c>
      <c r="H90">
        <v>1048</v>
      </c>
      <c r="I90">
        <v>1218</v>
      </c>
      <c r="J90" t="s">
        <v>64</v>
      </c>
      <c r="K90">
        <v>534</v>
      </c>
      <c r="L90">
        <v>513</v>
      </c>
      <c r="M90" t="s">
        <v>65</v>
      </c>
    </row>
    <row r="91" spans="1:22" x14ac:dyDescent="0.2">
      <c r="A91" t="s">
        <v>111</v>
      </c>
      <c r="B91">
        <v>9.7586558903134564E-3</v>
      </c>
      <c r="E91">
        <v>1.0518758452573756E-2</v>
      </c>
      <c r="H91">
        <v>6.2954286057547906E-3</v>
      </c>
    </row>
    <row r="118" spans="1:18" ht="15.75" thickBot="1" x14ac:dyDescent="0.25">
      <c r="A118" s="13" t="s">
        <v>10</v>
      </c>
      <c r="B118" s="17">
        <v>117520</v>
      </c>
      <c r="C118" s="17">
        <v>105129</v>
      </c>
      <c r="D118" s="17">
        <v>122200</v>
      </c>
      <c r="E118" s="17">
        <v>64873</v>
      </c>
      <c r="F118" s="17">
        <v>409722</v>
      </c>
    </row>
    <row r="121" spans="1:18" ht="15.75" thickBot="1" x14ac:dyDescent="0.25">
      <c r="M121" s="13" t="s">
        <v>67</v>
      </c>
      <c r="N121" s="7">
        <v>2022</v>
      </c>
      <c r="O121" s="7">
        <v>2023</v>
      </c>
      <c r="P121" s="7">
        <v>2024</v>
      </c>
    </row>
    <row r="122" spans="1:18" s="18" customFormat="1" ht="18" x14ac:dyDescent="0.25">
      <c r="A122" s="44" t="s">
        <v>103</v>
      </c>
      <c r="B122" s="44"/>
      <c r="C122" s="44"/>
      <c r="D122" s="44"/>
      <c r="E122" s="44"/>
      <c r="F122" s="44"/>
      <c r="M122" s="44" t="s">
        <v>104</v>
      </c>
      <c r="N122" s="46"/>
      <c r="O122" s="46"/>
      <c r="P122" s="46"/>
      <c r="Q122" s="46"/>
      <c r="R122" s="46"/>
    </row>
    <row r="123" spans="1:18" s="18" customFormat="1" ht="15.75" thickBot="1" x14ac:dyDescent="0.25">
      <c r="B123" s="19">
        <v>2022</v>
      </c>
      <c r="C123" s="19">
        <v>2023</v>
      </c>
      <c r="D123" s="19">
        <v>2024</v>
      </c>
      <c r="E123" s="19">
        <v>2025</v>
      </c>
      <c r="F123" s="20" t="s">
        <v>10</v>
      </c>
      <c r="H123" s="19">
        <v>2022</v>
      </c>
      <c r="I123" s="19">
        <v>2023</v>
      </c>
      <c r="J123" s="19">
        <v>2024</v>
      </c>
      <c r="K123" s="19">
        <v>2025</v>
      </c>
      <c r="M123" s="21" t="s">
        <v>67</v>
      </c>
      <c r="N123" s="19">
        <v>2022</v>
      </c>
      <c r="O123" s="19">
        <v>2023</v>
      </c>
      <c r="P123" s="19">
        <v>2024</v>
      </c>
      <c r="Q123" s="19">
        <v>2025</v>
      </c>
      <c r="R123" s="20" t="s">
        <v>10</v>
      </c>
    </row>
    <row r="124" spans="1:18" s="18" customFormat="1" ht="15" thickBot="1" x14ac:dyDescent="0.25">
      <c r="A124" s="22" t="s">
        <v>1</v>
      </c>
      <c r="B124" s="23">
        <v>64806</v>
      </c>
      <c r="C124" s="23">
        <v>58193</v>
      </c>
      <c r="D124" s="23">
        <v>38193</v>
      </c>
      <c r="E124" s="23">
        <v>20769</v>
      </c>
      <c r="F124" s="23">
        <v>181961</v>
      </c>
      <c r="G124" s="22" t="s">
        <v>1</v>
      </c>
      <c r="H124" s="24">
        <f t="shared" ref="H124:H130" si="12">B124/$B$133</f>
        <v>0.60351458824186777</v>
      </c>
      <c r="I124" s="24">
        <f t="shared" ref="I124:K130" si="13">C124/C$133</f>
        <v>0.62087103106862407</v>
      </c>
      <c r="J124" s="24">
        <f t="shared" si="13"/>
        <v>0.34362291719149241</v>
      </c>
      <c r="K124" s="24">
        <f t="shared" si="13"/>
        <v>0.34336303668556878</v>
      </c>
      <c r="M124" s="22" t="s">
        <v>1</v>
      </c>
      <c r="N124" s="23">
        <v>10621</v>
      </c>
      <c r="O124" s="23">
        <v>12154</v>
      </c>
      <c r="P124" s="23">
        <v>11474</v>
      </c>
      <c r="Q124" s="23">
        <v>5981</v>
      </c>
      <c r="R124" s="23">
        <v>40230</v>
      </c>
    </row>
    <row r="125" spans="1:18" s="18" customFormat="1" ht="15" thickBot="1" x14ac:dyDescent="0.25">
      <c r="A125" s="22" t="s">
        <v>2</v>
      </c>
      <c r="B125" s="23">
        <v>38218</v>
      </c>
      <c r="C125" s="23">
        <v>32591</v>
      </c>
      <c r="D125" s="23">
        <v>68366</v>
      </c>
      <c r="E125" s="23">
        <v>37966</v>
      </c>
      <c r="F125" s="23">
        <v>177141</v>
      </c>
      <c r="G125" s="22" t="s">
        <v>2</v>
      </c>
      <c r="H125" s="24">
        <f t="shared" si="12"/>
        <v>0.35591026345442861</v>
      </c>
      <c r="I125" s="24">
        <f t="shared" si="13"/>
        <v>0.34771893137589621</v>
      </c>
      <c r="J125" s="24">
        <f t="shared" si="13"/>
        <v>0.61508979018965704</v>
      </c>
      <c r="K125" s="24">
        <f t="shared" si="13"/>
        <v>0.62767206176533796</v>
      </c>
      <c r="M125" s="22" t="s">
        <v>6</v>
      </c>
      <c r="N125" s="25">
        <v>113</v>
      </c>
      <c r="O125" s="25">
        <v>137</v>
      </c>
      <c r="P125" s="25">
        <v>116</v>
      </c>
      <c r="Q125" s="25">
        <v>68</v>
      </c>
      <c r="R125" s="25">
        <v>434</v>
      </c>
    </row>
    <row r="126" spans="1:18" s="18" customFormat="1" ht="15" thickBot="1" x14ac:dyDescent="0.25">
      <c r="A126" s="22" t="s">
        <v>3</v>
      </c>
      <c r="B126" s="23">
        <v>2269</v>
      </c>
      <c r="C126" s="23">
        <v>1615</v>
      </c>
      <c r="D126" s="23">
        <v>2093</v>
      </c>
      <c r="E126" s="25">
        <v>806</v>
      </c>
      <c r="F126" s="23">
        <v>6783</v>
      </c>
      <c r="G126" s="22" t="s">
        <v>3</v>
      </c>
      <c r="H126" s="24">
        <f t="shared" si="12"/>
        <v>2.1130367569681788E-2</v>
      </c>
      <c r="I126" s="24">
        <f t="shared" si="13"/>
        <v>1.7230710139979514E-2</v>
      </c>
      <c r="J126" s="24">
        <f t="shared" si="13"/>
        <v>1.883074819160039E-2</v>
      </c>
      <c r="K126" s="24">
        <f t="shared" si="13"/>
        <v>1.332517731082712E-2</v>
      </c>
      <c r="M126" s="22" t="s">
        <v>69</v>
      </c>
      <c r="N126" s="26"/>
      <c r="O126" s="26"/>
      <c r="P126" s="25">
        <v>38</v>
      </c>
      <c r="Q126" s="25">
        <v>54</v>
      </c>
      <c r="R126" s="25">
        <v>92</v>
      </c>
    </row>
    <row r="127" spans="1:18" s="18" customFormat="1" ht="15" thickBot="1" x14ac:dyDescent="0.25">
      <c r="A127" s="22" t="s">
        <v>4</v>
      </c>
      <c r="B127" s="23">
        <v>1330</v>
      </c>
      <c r="C127" s="25">
        <v>652</v>
      </c>
      <c r="D127" s="23">
        <v>1204</v>
      </c>
      <c r="E127" s="25">
        <v>276</v>
      </c>
      <c r="F127" s="23">
        <v>3462</v>
      </c>
      <c r="G127" s="22" t="s">
        <v>4</v>
      </c>
      <c r="H127" s="24">
        <f t="shared" si="12"/>
        <v>1.2385803820042653E-2</v>
      </c>
      <c r="I127" s="24">
        <f t="shared" si="13"/>
        <v>6.95629907818368E-3</v>
      </c>
      <c r="J127" s="24">
        <f t="shared" si="13"/>
        <v>1.0832403641990859E-2</v>
      </c>
      <c r="K127" s="24">
        <f t="shared" si="13"/>
        <v>4.5629639426653665E-3</v>
      </c>
      <c r="M127" s="22" t="s">
        <v>70</v>
      </c>
      <c r="N127" s="26"/>
      <c r="O127" s="26"/>
      <c r="P127" s="25">
        <v>26</v>
      </c>
      <c r="Q127" s="25">
        <v>27</v>
      </c>
      <c r="R127" s="25">
        <v>53</v>
      </c>
    </row>
    <row r="128" spans="1:18" s="18" customFormat="1" ht="15" thickBot="1" x14ac:dyDescent="0.25">
      <c r="A128" s="22" t="s">
        <v>5</v>
      </c>
      <c r="B128" s="25">
        <v>636</v>
      </c>
      <c r="C128" s="25">
        <v>578</v>
      </c>
      <c r="D128" s="23">
        <v>1220</v>
      </c>
      <c r="E128" s="25">
        <v>610</v>
      </c>
      <c r="F128" s="23">
        <v>3044</v>
      </c>
      <c r="G128" s="22" t="s">
        <v>5</v>
      </c>
      <c r="H128" s="24">
        <f t="shared" si="12"/>
        <v>5.9228355109376893E-3</v>
      </c>
      <c r="I128" s="24">
        <f t="shared" si="13"/>
        <v>6.1667804711505632E-3</v>
      </c>
      <c r="J128" s="24">
        <f t="shared" si="13"/>
        <v>1.0976355849857847E-2</v>
      </c>
      <c r="K128" s="24">
        <f t="shared" si="13"/>
        <v>1.0084811612412585E-2</v>
      </c>
      <c r="M128" s="22" t="s">
        <v>71</v>
      </c>
      <c r="N128" s="26"/>
      <c r="O128" s="26"/>
      <c r="P128" s="25">
        <v>6</v>
      </c>
      <c r="Q128" s="25">
        <v>4</v>
      </c>
      <c r="R128" s="25">
        <v>10</v>
      </c>
    </row>
    <row r="129" spans="1:18" s="18" customFormat="1" ht="15" thickBot="1" x14ac:dyDescent="0.25">
      <c r="A129" s="22" t="s">
        <v>6</v>
      </c>
      <c r="B129" s="25">
        <v>115</v>
      </c>
      <c r="C129" s="25">
        <v>86</v>
      </c>
      <c r="D129" s="25">
        <v>64</v>
      </c>
      <c r="E129" s="25">
        <v>52</v>
      </c>
      <c r="F129" s="25">
        <v>317</v>
      </c>
      <c r="G129" s="22" t="s">
        <v>6</v>
      </c>
      <c r="H129" s="24">
        <f t="shared" si="12"/>
        <v>1.0709529618833872E-3</v>
      </c>
      <c r="I129" s="24">
        <f t="shared" si="13"/>
        <v>9.1754865141686578E-4</v>
      </c>
      <c r="J129" s="24">
        <f t="shared" si="13"/>
        <v>5.7580883146795268E-4</v>
      </c>
      <c r="K129" s="24">
        <f t="shared" si="13"/>
        <v>8.5968885876304001E-4</v>
      </c>
      <c r="M129" s="22" t="s">
        <v>3</v>
      </c>
      <c r="N129" s="26"/>
      <c r="O129" s="26"/>
      <c r="P129" s="25">
        <v>2</v>
      </c>
      <c r="Q129" s="26"/>
      <c r="R129" s="25">
        <v>2</v>
      </c>
    </row>
    <row r="130" spans="1:18" s="18" customFormat="1" ht="15" thickBot="1" x14ac:dyDescent="0.25">
      <c r="A130" s="22" t="s">
        <v>7</v>
      </c>
      <c r="B130" s="25">
        <v>4</v>
      </c>
      <c r="C130" s="25">
        <v>9</v>
      </c>
      <c r="D130" s="25">
        <v>7</v>
      </c>
      <c r="E130" s="25">
        <v>7</v>
      </c>
      <c r="F130" s="25">
        <v>27</v>
      </c>
      <c r="G130" s="22" t="s">
        <v>7</v>
      </c>
      <c r="H130" s="24">
        <f t="shared" si="12"/>
        <v>3.7250537804639558E-5</v>
      </c>
      <c r="I130" s="24">
        <f t="shared" si="13"/>
        <v>9.6022533287811544E-5</v>
      </c>
      <c r="J130" s="24">
        <f t="shared" si="13"/>
        <v>6.2979090941807315E-5</v>
      </c>
      <c r="K130" s="24">
        <f t="shared" si="13"/>
        <v>1.157273463719477E-4</v>
      </c>
      <c r="M130" s="22" t="s">
        <v>72</v>
      </c>
      <c r="N130" s="26"/>
      <c r="O130" s="26"/>
      <c r="P130" s="26"/>
      <c r="Q130" s="25">
        <v>1</v>
      </c>
      <c r="R130" s="25">
        <v>1</v>
      </c>
    </row>
    <row r="131" spans="1:18" s="18" customFormat="1" ht="15" thickBot="1" x14ac:dyDescent="0.25">
      <c r="A131" s="22" t="s">
        <v>8</v>
      </c>
      <c r="B131" s="25">
        <v>3</v>
      </c>
      <c r="C131" s="25">
        <v>2</v>
      </c>
      <c r="D131" s="26"/>
      <c r="E131" s="25">
        <v>1</v>
      </c>
      <c r="F131" s="25">
        <v>6</v>
      </c>
      <c r="G131" s="22" t="s">
        <v>75</v>
      </c>
      <c r="H131" s="24">
        <f>SUM(H126:H130)</f>
        <v>4.0547210400350156E-2</v>
      </c>
      <c r="I131" s="24">
        <f t="shared" ref="I131:K131" si="14">SUM(I126:I130)</f>
        <v>3.1367360874018438E-2</v>
      </c>
      <c r="J131" s="24">
        <f t="shared" si="14"/>
        <v>4.1278295605858856E-2</v>
      </c>
      <c r="K131" s="24">
        <f t="shared" si="14"/>
        <v>2.8948369071040061E-2</v>
      </c>
      <c r="M131" s="22" t="s">
        <v>73</v>
      </c>
      <c r="N131" s="26"/>
      <c r="O131" s="26"/>
      <c r="P131" s="25">
        <v>1</v>
      </c>
      <c r="Q131" s="26"/>
      <c r="R131" s="25">
        <v>1</v>
      </c>
    </row>
    <row r="132" spans="1:18" s="18" customFormat="1" ht="15.75" thickBot="1" x14ac:dyDescent="0.25">
      <c r="A132" s="22" t="s">
        <v>9</v>
      </c>
      <c r="B132" s="26"/>
      <c r="C132" s="25">
        <v>2</v>
      </c>
      <c r="D132" s="25">
        <v>1</v>
      </c>
      <c r="E132" s="26"/>
      <c r="F132" s="25">
        <v>3</v>
      </c>
      <c r="G132" s="22"/>
      <c r="H132" s="24"/>
      <c r="I132" s="24"/>
      <c r="J132" s="24"/>
      <c r="K132" s="24"/>
      <c r="M132" s="21" t="s">
        <v>68</v>
      </c>
      <c r="N132" s="27">
        <v>10734</v>
      </c>
      <c r="O132" s="27">
        <v>12291</v>
      </c>
      <c r="P132" s="27">
        <v>11663</v>
      </c>
      <c r="Q132" s="27">
        <v>6135</v>
      </c>
      <c r="R132" s="27">
        <v>40823</v>
      </c>
    </row>
    <row r="133" spans="1:18" s="18" customFormat="1" ht="15.75" thickBot="1" x14ac:dyDescent="0.25">
      <c r="A133" s="21" t="s">
        <v>0</v>
      </c>
      <c r="B133" s="27">
        <v>107381</v>
      </c>
      <c r="C133" s="27">
        <v>93728</v>
      </c>
      <c r="D133" s="27">
        <v>111148</v>
      </c>
      <c r="E133" s="27">
        <v>60487</v>
      </c>
      <c r="F133" s="27">
        <v>372744</v>
      </c>
    </row>
    <row r="134" spans="1:18" ht="15.75" thickBot="1" x14ac:dyDescent="0.25">
      <c r="M134" s="1" t="s">
        <v>68</v>
      </c>
      <c r="N134" s="2">
        <v>10741</v>
      </c>
      <c r="O134" s="2">
        <v>12355</v>
      </c>
      <c r="P134" s="2">
        <v>11611</v>
      </c>
    </row>
  </sheetData>
  <mergeCells count="13">
    <mergeCell ref="A122:F122"/>
    <mergeCell ref="A44:M44"/>
    <mergeCell ref="A50:K50"/>
    <mergeCell ref="A57:M57"/>
    <mergeCell ref="M122:R122"/>
    <mergeCell ref="A67:H67"/>
    <mergeCell ref="A24:F24"/>
    <mergeCell ref="M1:R1"/>
    <mergeCell ref="A73:H73"/>
    <mergeCell ref="A63:H63"/>
    <mergeCell ref="A84:F84"/>
    <mergeCell ref="A1:F1"/>
    <mergeCell ref="A79:M79"/>
  </mergeCells>
  <pageMargins left="0.7" right="0.7" top="0.75" bottom="0.75" header="0.3" footer="0.3"/>
  <pageSetup paperSize="9" orientation="portrait" r:id="rId3"/>
  <drawing r:id="rId4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D26A-B796-485A-99D4-DA12C190CB77}">
  <dimension ref="A1"/>
  <sheetViews>
    <sheetView rightToLeft="1" workbookViewId="0">
      <selection sqref="A1:E3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Shlomit Cohen (Planning)</dc:creator>
  <cp:lastModifiedBy>Shlomit Cohen (Planning)</cp:lastModifiedBy>
  <dcterms:created xsi:type="dcterms:W3CDTF">2025-07-21T11:31:36Z</dcterms:created>
  <dcterms:modified xsi:type="dcterms:W3CDTF">2025-09-18T09:59:36Z</dcterms:modified>
</cp:coreProperties>
</file>